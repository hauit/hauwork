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ED8DE2F3-630D-47BF-B5D0-6DC7073AA7DF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Enrollment Summary" sheetId="1" r:id="rId1"/>
    <sheet name="Last Semester" sheetId="2" r:id="rId2"/>
    <sheet name="Next Semester" sheetId="3" r:id="rId3"/>
    <sheet name="Revenue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<sst xmlns="http://schemas.openxmlformats.org/spreadsheetml/2006/main" count="38" uniqueCount="38">
  <si>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Bellows College</t>
  </si>
  <si>
    <t>Enrollment Summary</t>
  </si>
  <si>
    <t>Program</t>
  </si>
  <si>
    <t>Enrolled</t>
  </si>
  <si>
    <t>Business</t>
  </si>
  <si>
    <t>Health &amp; Beauty</t>
  </si>
  <si>
    <t>IT</t>
  </si>
  <si>
    <t>Other</t>
  </si>
  <si>
    <t>Last Semester</t>
  </si>
  <si>
    <t>Category</t>
  </si>
  <si>
    <t>Students Enrollment</t>
  </si>
  <si>
    <t xml:space="preserve">Tutors Available </t>
  </si>
  <si>
    <t>Average Cost</t>
  </si>
  <si>
    <t>Total</t>
  </si>
  <si>
    <t>Accounting &amp; Finance</t>
  </si>
  <si>
    <t>Aerospace &amp; Aviation Engineering</t>
  </si>
  <si>
    <t>Agriculture</t>
  </si>
  <si>
    <t>Beauty Therapy Treatment</t>
  </si>
  <si>
    <t>Business Diploma</t>
  </si>
  <si>
    <t>Cyber Security Apprentice</t>
  </si>
  <si>
    <t xml:space="preserve">Digital Marketing Apprentice </t>
  </si>
  <si>
    <t>Electrician</t>
  </si>
  <si>
    <t>Engineering</t>
  </si>
  <si>
    <t>Graphic Design</t>
  </si>
  <si>
    <t>Health and Social Care</t>
  </si>
  <si>
    <t>Hospitality &amp; Event Management</t>
  </si>
  <si>
    <t>Music Diploma</t>
  </si>
  <si>
    <t>Performing Arts</t>
  </si>
  <si>
    <t>Plumbing</t>
  </si>
  <si>
    <t>Software &amp; Web Development</t>
  </si>
  <si>
    <t>Sport Science</t>
  </si>
  <si>
    <t>Theatrical Makeup</t>
  </si>
  <si>
    <t>Next Semester</t>
  </si>
  <si>
    <t>Students Enrolled</t>
  </si>
  <si>
    <t>Tutors Available</t>
  </si>
  <si>
    <t>Average Cost per Student</t>
  </si>
  <si>
    <t>Revenue</t>
  </si>
  <si>
    <t>Heath &amp; 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</si>
</sst>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10">
    <xf numFmtId="0" fontId="0" fillId="0" borderId="0" xfId="0"/>
    <xf numFmtId="42" applyNumberFormat="1" fontId="0" applyFont="1" fillId="0" borderId="0" xfId="1"/>
    <xf numFmtId="0" fontId="3" applyFont="1" fillId="0" borderId="0" xfId="0"/>
    <xf numFmtId="0" fontId="2" applyFont="1" fillId="2" applyFill="1" borderId="1" applyBorder="1" xfId="0"/>
    <xf numFmtId="0" fontId="2" applyFont="1" fillId="2" applyFill="1" borderId="2" applyBorder="1" xfId="0"/>
    <xf numFmtId="0" fontId="0" fillId="0" borderId="1" applyBorder="1" xfId="0"/>
    <xf numFmtId="0" fontId="0" fillId="0" borderId="3" applyBorder="1" xfId="0"/>
    <xf numFmtId="0" fontId="0" fillId="0" borderId="2" applyBorder="1" xfId="0" applyAlignment="1">
      <alignment horizontal="left"/>
    </xf>
    <xf numFmtId="0" fontId="0" fillId="0" borderId="4" applyBorder="1" xfId="0" applyAlignment="1">
      <alignment horizontal="left"/>
    </xf>
    <xf numFmtId="42" applyNumberFormat="1" fontId="0" fillId="0" borderId="0" xfId="0"/>
  </cellXfs>
  <cellStyles count="2">
    <cellStyle name="Currency" xfId="1" builtinId="4"/>
    <cellStyle name="Normal" xfId="0" builtinId="0"/>
  </cellStyles>
  <dxfs count="4">
    <dxf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'Enrollment Summary'!$B$3</c:f>
              <c:strCache>
                <c:ptCount val="1"/>
                <c:pt idx="0">
                  <c:v>Enrolled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79A-4D6F-9359-EB14F1ADBD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79A-4D6F-9359-EB14F1ADBD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79A-4D6F-9359-EB14F1ADBD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79A-4D6F-9359-EB14F1ADBDDA}"/>
              </c:ext>
            </c:extLst>
          </c:dPt>
          <c:cat>
            <c:strRef>
              <c:f>'Enrollment Summary'!$A$4:$A$7</c:f>
              <c:strCache>
                <c:ptCount val="4"/>
                <c:pt idx="0">
                  <c:v>Business</c:v>
                </c:pt>
                <c:pt idx="1">
                  <c:v>Health &amp; Beauty</c:v>
                </c:pt>
                <c:pt idx="2">
                  <c:v>IT</c:v>
                </c:pt>
                <c:pt idx="3">
                  <c:v>Other</c:v>
                </c:pt>
              </c:strCache>
            </c:strRef>
          </c:cat>
          <c:val>
            <c:numRef>
              <c:f>'Enrollment Summary'!$B$4:$B$7</c:f>
              <c:numCache>
                <c:formatCode>General</c:formatCode>
                <c:ptCount val="4"/>
                <c:pt idx="0">
                  <c:v>55</c:v>
                </c:pt>
                <c:pt idx="1">
                  <c:v>31</c:v>
                </c:pt>
                <c:pt idx="2">
                  <c:v>21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1-4CE6-A4EC-AE007091E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Revenue!$B$1:$B$3</c:f>
              <c:strCache>
                <c:ptCount val="3"/>
                <c:pt idx="0">
                  <c:v>Bellows College</c:v>
                </c:pt>
                <c:pt idx="1">
                  <c:v>Revenue</c:v>
                </c:pt>
                <c:pt idx="2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dk1">
                  <a:tint val="88500"/>
                </a:schemeClr>
              </a:outerShdw>
            </a:effectLst>
          </c:spPr>
          <c:marker>
            <c:symbol val="none"/>
          </c:marker>
          <c:dLbls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Revenue!$A$4:$A$7</c:f>
              <c:strCache>
                <c:ptCount val="4"/>
                <c:pt idx="0">
                  <c:v>Business</c:v>
                </c:pt>
                <c:pt idx="1">
                  <c:v>Heath &amp; Beauty</c:v>
                </c:pt>
                <c:pt idx="2">
                  <c:v>IT</c:v>
                </c:pt>
                <c:pt idx="3">
                  <c:v>Other</c:v>
                </c:pt>
              </c:strCache>
            </c:strRef>
          </c:cat>
          <c:val>
            <c:numRef>
              <c:f>Revenue!$B$4:$B$7</c:f>
              <c:numCache>
                <c:formatCode>General</c:formatCode>
                <c:ptCount val="4"/>
                <c:pt idx="0">
                  <c:v>282400</c:v>
                </c:pt>
                <c:pt idx="1">
                  <c:v>103100</c:v>
                </c:pt>
                <c:pt idx="2">
                  <c:v>172800</c:v>
                </c:pt>
                <c:pt idx="3">
                  <c:v>183000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6-45E4-ABF9-08302BCA55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4190752"/>
        <c:axId val="193167208"/>
      </c:lineChart>
      <c:catAx>
        <c:axId val="19419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3167208"/>
        <c:crosses val="autoZero"/>
        <c:auto val="1"/>
        <c:lblAlgn val="ctr"/>
        <c:lblOffset val="100"/>
        <c:noMultiLvlLbl val="0"/>
      </c:catAx>
      <c:valAx>
        <c:axId val="1931672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19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tint val="88500"/>
      </a:schemeClr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9</xdr:row>
      <xdr:rowOff>60960</xdr:rowOff>
    </xdr:from>
    <xdr:to>
      <xdr:col>5</xdr:col>
      <xdr:colOff>384810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22C331-C08C-4EDC-865D-F5E43EAF9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83820</xdr:rowOff>
    </xdr:from>
    <xdr:to>
      <xdr:col>5</xdr:col>
      <xdr:colOff>411480</xdr:colOff>
      <xdr:row>24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B99F43-5151-4641-AB9A-B343A3F91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21" totalsRowShown="0">
  <autoFilter ref="A3:F21" xr:uid="{00000000-0009-0000-0100-000001000000}"/>
  <tableColumns count="6">
    <tableColumn id="1" xr3:uid="{00000000-0010-0000-0000-000001000000}" name="Program"/>
    <tableColumn id="2" xr3:uid="{00000000-0010-0000-0000-000002000000}" name="Category"/>
    <tableColumn id="3" xr3:uid="{00000000-0010-0000-0000-000003000000}" name="Students Enrollment"/>
    <tableColumn id="4" xr3:uid="{00000000-0010-0000-0000-000004000000}" name="Tutors Available "/>
    <tableColumn id="5" xr3:uid="{00000000-0010-0000-0000-000005000000}" name="Average Cost" dataDxfId="1" dataCellStyle="Currency"/>
    <tableColumn id="6" xr3:uid="{00000000-0010-0000-0000-000006000000}" name="Total" dataDxfId="1" dataCellStyle="Currency">
      <calculatedColumnFormula>E4*C4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F21" totalsRowShown="0">
  <autoFilter ref="A3:F21" xr:uid="{00000000-0009-0000-0100-000002000000}"/>
  <tableColumns count="6">
    <tableColumn id="1" xr3:uid="{00000000-0010-0000-0100-000001000000}" name="Program"/>
    <tableColumn id="2" xr3:uid="{00000000-0010-0000-0100-000002000000}" name="Category"/>
    <tableColumn id="3" xr3:uid="{00000000-0010-0000-0100-000003000000}" name="Students Enrolled"/>
    <tableColumn id="4" xr3:uid="{00000000-0010-0000-0100-000004000000}" name="Tutors Available"/>
    <tableColumn id="5" xr3:uid="{00000000-0010-0000-0100-000005000000}" name="Average Cost per Student" dataDxfId="1" dataCellStyle="Currency"/>
    <tableColumn id="6" xr3:uid="{00000000-0010-0000-0100-000006000000}" name="Total" dataDxfId="0">
      <calculatedColumnFormula>SUM(E4*C4)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3" sqref="C3"/>
    </sheetView>
  </sheetViews>
  <sheetFormatPr defaultRowHeight="15" x14ac:dyDescent="0.25"/>
  <cols>
    <col min="1" max="1" bestFit="1" width="19.42578125" customWidth="1"/>
    <col min="2" max="2" width="9.85546875" customWidth="1"/>
  </cols>
  <sheetData>
    <row r="1" ht="18.75">
      <c r="A1" s="2" t="s">
        <v>0</v>
      </c>
    </row>
    <row r="2">
      <c r="A2" s="0" t="s">
        <v>1</v>
      </c>
    </row>
    <row r="3">
      <c r="A3" s="3" t="s">
        <v>2</v>
      </c>
      <c r="B3" s="4" t="s">
        <v>3</v>
      </c>
    </row>
    <row r="4">
      <c r="A4" s="5" t="s">
        <v>4</v>
      </c>
      <c r="B4" s="7">
        <v>55</v>
      </c>
    </row>
    <row r="5">
      <c r="A5" s="5" t="s">
        <v>5</v>
      </c>
      <c r="B5" s="7">
        <v>31</v>
      </c>
    </row>
    <row r="6">
      <c r="A6" s="5" t="s">
        <v>6</v>
      </c>
      <c r="B6" s="7">
        <v>21</v>
      </c>
    </row>
    <row r="7">
      <c r="A7" s="6" t="s">
        <v>7</v>
      </c>
      <c r="B7" s="8">
        <v>63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defaultRowHeight="15" x14ac:dyDescent="0.25"/>
  <cols>
    <col min="1" max="1" bestFit="1" width="28.42578125" customWidth="1"/>
    <col min="2" max="2" bestFit="1" width="14" customWidth="1"/>
    <col min="3" max="3" width="20.42578125" customWidth="1"/>
    <col min="4" max="4" width="17.28515625" customWidth="1"/>
    <col min="5" max="5" bestFit="1" width="14.7109375" customWidth="1"/>
    <col min="6" max="6" bestFit="1" width="9.5703125" customWidth="1"/>
  </cols>
  <sheetData>
    <row r="1" ht="18.75">
      <c r="A1" s="2" t="s">
        <v>0</v>
      </c>
    </row>
    <row r="2">
      <c r="A2" s="0" t="s">
        <v>8</v>
      </c>
    </row>
    <row r="3">
      <c r="A3" s="0" t="s">
        <v>2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13</v>
      </c>
    </row>
    <row r="4">
      <c r="A4" s="0" t="s">
        <v>14</v>
      </c>
      <c r="B4" s="0" t="s">
        <v>4</v>
      </c>
      <c r="C4" s="0">
        <v>18</v>
      </c>
      <c r="D4" s="0">
        <v>2</v>
      </c>
      <c r="E4" s="1">
        <v>3800</v>
      </c>
      <c r="F4" s="1">
        <f>E4*C4</f>
        <v>68400</v>
      </c>
    </row>
    <row r="5">
      <c r="A5" s="0" t="s">
        <v>15</v>
      </c>
      <c r="B5" s="0" t="s">
        <v>7</v>
      </c>
      <c r="C5" s="0">
        <v>0</v>
      </c>
      <c r="D5" s="0">
        <v>1</v>
      </c>
      <c r="E5" s="1">
        <v>10000</v>
      </c>
      <c r="F5" s="1">
        <f ref="F5:F21" t="shared" si="0">E5*C5</f>
        <v>0</v>
      </c>
    </row>
    <row r="6">
      <c r="A6" s="0" t="s">
        <v>16</v>
      </c>
      <c r="B6" s="0" t="s">
        <v>7</v>
      </c>
      <c r="C6" s="0">
        <v>3</v>
      </c>
      <c r="D6" s="0">
        <v>2</v>
      </c>
      <c r="E6" s="1">
        <v>4000</v>
      </c>
      <c r="F6" s="1">
        <f t="shared" si="0"/>
        <v>12000</v>
      </c>
    </row>
    <row r="7">
      <c r="A7" s="0" t="s">
        <v>17</v>
      </c>
      <c r="B7" s="0" t="s">
        <v>5</v>
      </c>
      <c r="C7" s="0">
        <v>15</v>
      </c>
      <c r="D7" s="0">
        <v>1</v>
      </c>
      <c r="E7" s="1">
        <v>3750</v>
      </c>
      <c r="F7" s="1">
        <f t="shared" si="0"/>
        <v>56250</v>
      </c>
    </row>
    <row r="8">
      <c r="A8" s="0" t="s">
        <v>18</v>
      </c>
      <c r="B8" s="0" t="s">
        <v>4</v>
      </c>
      <c r="C8" s="0">
        <v>13</v>
      </c>
      <c r="D8" s="0">
        <v>3</v>
      </c>
      <c r="E8" s="1">
        <v>8000</v>
      </c>
      <c r="F8" s="1">
        <f t="shared" si="0"/>
        <v>104000</v>
      </c>
    </row>
    <row r="9">
      <c r="A9" s="0" t="s">
        <v>19</v>
      </c>
      <c r="B9" s="0" t="s">
        <v>4</v>
      </c>
      <c r="C9" s="0">
        <v>12</v>
      </c>
      <c r="D9" s="0">
        <v>2</v>
      </c>
      <c r="E9" s="1">
        <v>7500</v>
      </c>
      <c r="F9" s="1">
        <f t="shared" si="0"/>
        <v>90000</v>
      </c>
    </row>
    <row r="10">
      <c r="A10" s="0" t="s">
        <v>20</v>
      </c>
      <c r="B10" s="0" t="s">
        <v>6</v>
      </c>
      <c r="C10" s="0">
        <v>3</v>
      </c>
      <c r="D10" s="0">
        <v>2</v>
      </c>
      <c r="E10" s="1">
        <v>4300</v>
      </c>
      <c r="F10" s="1">
        <f t="shared" si="0"/>
        <v>12900</v>
      </c>
    </row>
    <row r="11">
      <c r="A11" s="0" t="s">
        <v>21</v>
      </c>
      <c r="B11" s="0" t="s">
        <v>7</v>
      </c>
      <c r="C11" s="0">
        <v>12</v>
      </c>
      <c r="D11" s="0">
        <v>2</v>
      </c>
      <c r="E11" s="1">
        <v>3000</v>
      </c>
      <c r="F11" s="1">
        <f t="shared" si="0"/>
        <v>36000</v>
      </c>
    </row>
    <row r="12">
      <c r="A12" s="0" t="s">
        <v>22</v>
      </c>
      <c r="B12" s="0" t="s">
        <v>7</v>
      </c>
      <c r="C12" s="0">
        <v>8</v>
      </c>
      <c r="D12" s="0">
        <v>2</v>
      </c>
      <c r="E12" s="1">
        <v>4500</v>
      </c>
      <c r="F12" s="1">
        <f t="shared" si="0"/>
        <v>36000</v>
      </c>
    </row>
    <row r="13">
      <c r="A13" s="0" t="s">
        <v>23</v>
      </c>
      <c r="B13" s="0" t="s">
        <v>6</v>
      </c>
      <c r="C13" s="0">
        <v>11</v>
      </c>
      <c r="D13" s="0">
        <v>1</v>
      </c>
      <c r="E13" s="1">
        <v>7500</v>
      </c>
      <c r="F13" s="1">
        <f t="shared" si="0"/>
        <v>82500</v>
      </c>
    </row>
    <row r="14">
      <c r="A14" s="0" t="s">
        <v>24</v>
      </c>
      <c r="B14" s="0" t="s">
        <v>5</v>
      </c>
      <c r="C14" s="0">
        <v>8</v>
      </c>
      <c r="D14" s="0">
        <v>2</v>
      </c>
      <c r="E14" s="1">
        <v>3200</v>
      </c>
      <c r="F14" s="1">
        <f t="shared" si="0"/>
        <v>25600</v>
      </c>
    </row>
    <row r="15">
      <c r="A15" s="0" t="s">
        <v>25</v>
      </c>
      <c r="B15" s="0" t="s">
        <v>4</v>
      </c>
      <c r="C15" s="0">
        <v>4</v>
      </c>
      <c r="D15" s="0">
        <v>1</v>
      </c>
      <c r="E15" s="1">
        <v>5000</v>
      </c>
      <c r="F15" s="1">
        <f t="shared" si="0"/>
        <v>20000</v>
      </c>
    </row>
    <row r="16">
      <c r="A16" s="0" t="s">
        <v>26</v>
      </c>
      <c r="B16" s="0" t="s">
        <v>7</v>
      </c>
      <c r="C16" s="0">
        <v>7</v>
      </c>
      <c r="D16" s="0">
        <v>1</v>
      </c>
      <c r="E16" s="1">
        <v>6500</v>
      </c>
      <c r="F16" s="1">
        <f t="shared" si="0"/>
        <v>45500</v>
      </c>
    </row>
    <row r="17">
      <c r="A17" s="0" t="s">
        <v>27</v>
      </c>
      <c r="B17" s="0" t="s">
        <v>7</v>
      </c>
      <c r="C17" s="0">
        <v>9</v>
      </c>
      <c r="D17" s="0">
        <v>1</v>
      </c>
      <c r="E17" s="1">
        <v>3500</v>
      </c>
      <c r="F17" s="1">
        <f t="shared" si="0"/>
        <v>31500</v>
      </c>
    </row>
    <row r="18">
      <c r="A18" s="0" t="s">
        <v>28</v>
      </c>
      <c r="B18" s="0" t="s">
        <v>7</v>
      </c>
      <c r="C18" s="0">
        <v>2</v>
      </c>
      <c r="D18" s="0">
        <v>2</v>
      </c>
      <c r="E18" s="1">
        <v>2000</v>
      </c>
      <c r="F18" s="1">
        <f t="shared" si="0"/>
        <v>4000</v>
      </c>
    </row>
    <row r="19">
      <c r="A19" s="0" t="s">
        <v>29</v>
      </c>
      <c r="B19" s="0" t="s">
        <v>6</v>
      </c>
      <c r="C19" s="0">
        <v>12</v>
      </c>
      <c r="D19" s="0">
        <v>3</v>
      </c>
      <c r="E19" s="1">
        <v>6450</v>
      </c>
      <c r="F19" s="1">
        <f t="shared" si="0"/>
        <v>77400</v>
      </c>
    </row>
    <row r="20">
      <c r="A20" s="0" t="s">
        <v>30</v>
      </c>
      <c r="B20" s="0" t="s">
        <v>5</v>
      </c>
      <c r="C20" s="0">
        <v>5</v>
      </c>
      <c r="D20" s="0">
        <v>1</v>
      </c>
      <c r="E20" s="1">
        <v>4250</v>
      </c>
      <c r="F20" s="1">
        <f t="shared" si="0"/>
        <v>21250</v>
      </c>
    </row>
    <row r="21">
      <c r="A21" s="0" t="s">
        <v>31</v>
      </c>
      <c r="B21" s="0" t="s">
        <v>7</v>
      </c>
      <c r="C21" s="0">
        <v>3</v>
      </c>
      <c r="D21" s="0">
        <v>1</v>
      </c>
      <c r="E21" s="1">
        <v>3000</v>
      </c>
      <c r="F21" s="1">
        <f t="shared" si="0"/>
        <v>9000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5" x14ac:dyDescent="0.25"/>
  <cols>
    <col min="1" max="1" bestFit="1" width="28.42578125" customWidth="1"/>
    <col min="2" max="2" bestFit="1" width="14" customWidth="1"/>
    <col min="3" max="3" width="18.28515625" customWidth="1"/>
    <col min="4" max="4" width="16.7109375" customWidth="1"/>
    <col min="5" max="5" width="25.28515625" customWidth="1"/>
    <col min="6" max="6" bestFit="1" width="9.5703125" customWidth="1"/>
  </cols>
  <sheetData>
    <row r="1" ht="18.75">
      <c r="A1" s="2" t="s">
        <v>0</v>
      </c>
    </row>
    <row r="2">
      <c r="A2" s="0" t="s">
        <v>32</v>
      </c>
    </row>
    <row r="3">
      <c r="A3" s="0" t="s">
        <v>2</v>
      </c>
      <c r="B3" s="0" t="s">
        <v>9</v>
      </c>
      <c r="C3" s="0" t="s">
        <v>33</v>
      </c>
      <c r="D3" s="0" t="s">
        <v>34</v>
      </c>
      <c r="E3" s="0" t="s">
        <v>35</v>
      </c>
      <c r="F3" s="0" t="s">
        <v>13</v>
      </c>
    </row>
    <row r="4">
      <c r="A4" s="0" t="s">
        <v>14</v>
      </c>
      <c r="B4" s="0" t="s">
        <v>4</v>
      </c>
      <c r="C4" s="0">
        <v>15</v>
      </c>
      <c r="D4" s="0">
        <v>2</v>
      </c>
      <c r="E4" s="1">
        <v>3800</v>
      </c>
      <c r="F4" s="9">
        <f>SUM(E4*C4)</f>
        <v>57000</v>
      </c>
    </row>
    <row r="5">
      <c r="A5" s="0" t="s">
        <v>15</v>
      </c>
      <c r="B5" s="0" t="s">
        <v>7</v>
      </c>
      <c r="C5" s="0">
        <v>13</v>
      </c>
      <c r="D5" s="0">
        <v>1</v>
      </c>
      <c r="E5" s="1">
        <v>10000</v>
      </c>
      <c r="F5" s="9">
        <f ref="F5:F21" t="shared" si="0">SUM(E5*C5)</f>
        <v>130000</v>
      </c>
    </row>
    <row r="6">
      <c r="A6" s="0" t="s">
        <v>16</v>
      </c>
      <c r="B6" s="0" t="s">
        <v>7</v>
      </c>
      <c r="C6" s="0">
        <v>4</v>
      </c>
      <c r="D6" s="0">
        <v>2</v>
      </c>
      <c r="E6" s="1">
        <v>4000</v>
      </c>
      <c r="F6" s="9">
        <f t="shared" si="0"/>
        <v>16000</v>
      </c>
    </row>
    <row r="7">
      <c r="A7" s="0" t="s">
        <v>17</v>
      </c>
      <c r="B7" s="0" t="s">
        <v>5</v>
      </c>
      <c r="C7" s="0">
        <v>11</v>
      </c>
      <c r="D7" s="0">
        <v>1</v>
      </c>
      <c r="E7" s="1">
        <v>3750</v>
      </c>
      <c r="F7" s="9">
        <f t="shared" si="0"/>
        <v>41250</v>
      </c>
    </row>
    <row r="8">
      <c r="A8" s="0" t="s">
        <v>18</v>
      </c>
      <c r="B8" s="0" t="s">
        <v>4</v>
      </c>
      <c r="C8" s="0">
        <v>13</v>
      </c>
      <c r="D8" s="0">
        <v>3</v>
      </c>
      <c r="E8" s="1">
        <v>8000</v>
      </c>
      <c r="F8" s="9">
        <f t="shared" si="0"/>
        <v>104000</v>
      </c>
    </row>
    <row r="9">
      <c r="A9" s="0" t="s">
        <v>19</v>
      </c>
      <c r="B9" s="0" t="s">
        <v>4</v>
      </c>
      <c r="C9" s="0">
        <v>14</v>
      </c>
      <c r="D9" s="0">
        <v>1</v>
      </c>
      <c r="E9" s="1">
        <v>7500</v>
      </c>
      <c r="F9" s="9">
        <f t="shared" si="0"/>
        <v>105000</v>
      </c>
    </row>
    <row r="10">
      <c r="A10" s="0" t="s">
        <v>20</v>
      </c>
      <c r="B10" s="0" t="s">
        <v>6</v>
      </c>
      <c r="C10" s="0">
        <v>4</v>
      </c>
      <c r="D10" s="0">
        <v>2</v>
      </c>
      <c r="E10" s="1">
        <v>4300</v>
      </c>
      <c r="F10" s="9">
        <f t="shared" si="0"/>
        <v>17200</v>
      </c>
    </row>
    <row r="11">
      <c r="A11" s="0" t="s">
        <v>21</v>
      </c>
      <c r="B11" s="0" t="s">
        <v>7</v>
      </c>
      <c r="C11" s="0">
        <v>8</v>
      </c>
      <c r="D11" s="0">
        <v>2</v>
      </c>
      <c r="E11" s="1">
        <v>3000</v>
      </c>
      <c r="F11" s="9">
        <f t="shared" si="0"/>
        <v>24000</v>
      </c>
    </row>
    <row r="12">
      <c r="A12" s="0" t="s">
        <v>22</v>
      </c>
      <c r="B12" s="0" t="s">
        <v>7</v>
      </c>
      <c r="C12" s="0">
        <v>5</v>
      </c>
      <c r="D12" s="0">
        <v>3</v>
      </c>
      <c r="E12" s="1">
        <v>4500</v>
      </c>
      <c r="F12" s="9">
        <f t="shared" si="0"/>
        <v>22500</v>
      </c>
    </row>
    <row r="13">
      <c r="A13" s="0" t="s">
        <v>23</v>
      </c>
      <c r="B13" s="0" t="s">
        <v>6</v>
      </c>
      <c r="C13" s="0">
        <v>8</v>
      </c>
      <c r="D13" s="0">
        <v>1</v>
      </c>
      <c r="E13" s="1">
        <v>7500</v>
      </c>
      <c r="F13" s="9">
        <f t="shared" si="0"/>
        <v>60000</v>
      </c>
    </row>
    <row r="14">
      <c r="A14" s="0" t="s">
        <v>24</v>
      </c>
      <c r="B14" s="0" t="s">
        <v>5</v>
      </c>
      <c r="C14" s="0">
        <v>8</v>
      </c>
      <c r="D14" s="0">
        <v>2</v>
      </c>
      <c r="E14" s="1">
        <v>3200</v>
      </c>
      <c r="F14" s="9">
        <f t="shared" si="0"/>
        <v>25600</v>
      </c>
    </row>
    <row r="15">
      <c r="A15" s="0" t="s">
        <v>25</v>
      </c>
      <c r="B15" s="0" t="s">
        <v>4</v>
      </c>
      <c r="C15" s="0">
        <v>13</v>
      </c>
      <c r="D15" s="0">
        <v>1</v>
      </c>
      <c r="E15" s="1">
        <v>5000</v>
      </c>
      <c r="F15" s="9">
        <f t="shared" si="0"/>
        <v>65000</v>
      </c>
    </row>
    <row r="16">
      <c r="A16" s="0" t="s">
        <v>26</v>
      </c>
      <c r="B16" s="0" t="s">
        <v>7</v>
      </c>
      <c r="C16" s="0">
        <v>10</v>
      </c>
      <c r="D16" s="0">
        <v>1</v>
      </c>
      <c r="E16" s="1">
        <v>6500</v>
      </c>
      <c r="F16" s="9">
        <f t="shared" si="0"/>
        <v>65000</v>
      </c>
    </row>
    <row r="17">
      <c r="A17" s="0" t="s">
        <v>27</v>
      </c>
      <c r="B17" s="0" t="s">
        <v>7</v>
      </c>
      <c r="C17" s="0">
        <v>7</v>
      </c>
      <c r="D17" s="0">
        <v>1</v>
      </c>
      <c r="E17" s="1">
        <v>3500</v>
      </c>
      <c r="F17" s="9">
        <f t="shared" si="0"/>
        <v>24500</v>
      </c>
    </row>
    <row r="18">
      <c r="A18" s="0" t="s">
        <v>28</v>
      </c>
      <c r="B18" s="0" t="s">
        <v>7</v>
      </c>
      <c r="C18" s="0">
        <v>11</v>
      </c>
      <c r="D18" s="0">
        <v>2</v>
      </c>
      <c r="E18" s="1">
        <v>2000</v>
      </c>
      <c r="F18" s="9">
        <f t="shared" si="0"/>
        <v>22000</v>
      </c>
    </row>
    <row r="19">
      <c r="A19" s="0" t="s">
        <v>29</v>
      </c>
      <c r="B19" s="0" t="s">
        <v>6</v>
      </c>
      <c r="C19" s="0">
        <v>9</v>
      </c>
      <c r="D19" s="0">
        <v>2</v>
      </c>
      <c r="E19" s="1">
        <v>6450</v>
      </c>
      <c r="F19" s="9">
        <f t="shared" si="0"/>
        <v>58050</v>
      </c>
    </row>
    <row r="20">
      <c r="A20" s="0" t="s">
        <v>30</v>
      </c>
      <c r="B20" s="0" t="s">
        <v>5</v>
      </c>
      <c r="C20" s="0">
        <v>12</v>
      </c>
      <c r="D20" s="0">
        <v>2</v>
      </c>
      <c r="E20" s="1">
        <v>4250</v>
      </c>
      <c r="F20" s="9">
        <f t="shared" si="0"/>
        <v>51000</v>
      </c>
    </row>
    <row r="21">
      <c r="A21" s="0" t="s">
        <v>31</v>
      </c>
      <c r="B21" s="0" t="s">
        <v>7</v>
      </c>
      <c r="C21" s="0">
        <v>5</v>
      </c>
      <c r="D21" s="0">
        <v>1</v>
      </c>
      <c r="E21" s="1">
        <v>3000</v>
      </c>
      <c r="F21" s="9">
        <f t="shared" si="0"/>
        <v>15000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F5" sqref="F5"/>
    </sheetView>
  </sheetViews>
  <sheetFormatPr defaultRowHeight="15" x14ac:dyDescent="0.25"/>
  <cols>
    <col min="1" max="1" bestFit="1" width="19.42578125" customWidth="1"/>
  </cols>
  <sheetData>
    <row r="1" ht="18.75">
      <c r="A1" s="2" t="s">
        <v>0</v>
      </c>
    </row>
    <row r="2">
      <c r="A2" s="0" t="s">
        <v>36</v>
      </c>
    </row>
    <row r="3">
      <c r="A3" s="0" t="s">
        <v>2</v>
      </c>
      <c r="B3" s="0" t="s">
        <v>13</v>
      </c>
    </row>
    <row r="4">
      <c r="A4" s="0" t="s">
        <v>4</v>
      </c>
      <c r="B4" s="0">
        <v>282400</v>
      </c>
    </row>
    <row r="5">
      <c r="A5" s="0" t="s">
        <v>37</v>
      </c>
      <c r="B5" s="0">
        <v>103100</v>
      </c>
    </row>
    <row r="6">
      <c r="A6" s="0" t="s">
        <v>6</v>
      </c>
      <c r="B6" s="0">
        <v>172800</v>
      </c>
    </row>
    <row r="7">
      <c r="A7" s="0" t="s">
        <v>7</v>
      </c>
      <c r="B7" s="0">
        <v>183000</v>
      </c>
    </row>
  </sheetData>
  <pageMargins left="0.7" right="0.7" top="0.75" bottom="0.75" header="0.3" footer="0.3"/>
  <headerFooter/>
  <drawing r:id="rId1"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Enrollment Summary</vt:lpstr>
      <vt:lpstr>Last Semester</vt:lpstr>
      <vt:lpstr>Next Semester</vt:lpstr>
      <vt:lpstr>Revenue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2022-12-18T09:03:45Z</dcterms:created>
  <dcterms:modified xsi:type="dcterms:W3CDTF">2025-07-08T09:32:23Z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