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custom-properties+xml" PartName="/docProps/custom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drawing+xml" PartName="/xl/drawings/drawing1.xml"/>
  <Override ContentType="application/vnd.openxmlformats-officedocument.spreadsheetml.table+xml" PartName="/xl/tables/table3.xml"/>
  <Override ContentType="application/vnd.openxmlformats-officedocument.drawingml.chart+xml" PartName="/xl/charts/chart1.xml"/>
  <Override ContentType="application/vnd.ms-office.chartstyle+xml" PartName="/xl/charts/style1.xml"/>
  <Override ContentType="application/vnd.ms-office.chartcolorstyle+xml" PartName="/xl/charts/colors1.xml"/>
  <Override ContentType="text/plain" PartName="/EPPlusLicense.txt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defaultThemeVersion="124226"/>
  <xr:revisionPtr revIDLastSave="0" documentId="8_{0D2A393A-BCA9-4957-B91C-B5BDAB4323B7}" xr6:coauthVersionLast="47" xr6:coauthVersionMax="47" xr10:uidLastSave="{00000000-0000-0000-0000-000000000000}"/>
  <bookViews>
    <workbookView xWindow="-30" yWindow="-30" windowWidth="20610" windowHeight="9195" xr2:uid="{00000000-000D-0000-FFFF-FFFF00000000}"/>
  </bookViews>
  <sheets>
    <sheet name="Games" sheetId="2" r:id="rId1"/>
    <sheet name="Shareholders Info" sheetId="1" r:id="rId2"/>
    <sheet name="Outdoor toys" sheetId="3" r:id="rId3"/>
  </sheets>
  <calcPr calcId="191029" fullCalcOnLoad="1" fullPrecision="1"/>
</workbook>
</file>

<file path=xl/sharedStrings.xml><?xml version="1.0" encoding="utf-8"?>
<sst xmlns="http://schemas.openxmlformats.org/spreadsheetml/2006/main" count="47" uniqueCount="47">
  <si>
    <t>Sales</t>
  </si>
  <si>
    <t>Category</t>
  </si>
  <si>
    <t>Subcategory</t>
  </si>
  <si>
    <t>Q1 Sales</t>
  </si>
  <si>
    <t>Q2 Sales</t>
  </si>
  <si>
    <t>Q3 Sales</t>
  </si>
  <si>
    <t>Q4 Sales</t>
  </si>
  <si>
    <t>CGG</t>
  </si>
  <si>
    <t>Boardgames</t>
  </si>
  <si>
    <t>U 12</t>
  </si>
  <si>
    <t>12 to 16</t>
  </si>
  <si>
    <t>Adult</t>
  </si>
  <si>
    <t>LCG</t>
  </si>
  <si>
    <t>Puzzles</t>
  </si>
  <si>
    <t>Total</t>
  </si>
  <si>
    <t>Cost</t>
  </si>
  <si>
    <t>Column1</t>
  </si>
  <si>
    <t>Q1</t>
  </si>
  <si>
    <t>Q2</t>
  </si>
  <si>
    <t>Q3</t>
  </si>
  <si>
    <t>Q4</t>
  </si>
  <si>
    <t>Salaries</t>
  </si>
  <si>
    <t>Materials</t>
  </si>
  <si>
    <t>General office</t>
  </si>
  <si>
    <t>Contract labor</t>
  </si>
  <si>
    <t>Marketing</t>
  </si>
  <si>
    <t>Royalties</t>
  </si>
  <si>
    <t>Tailspin Toys</t>
  </si>
  <si>
    <t>Annual Report</t>
  </si>
  <si>
    <t>Upcoming Products</t>
  </si>
  <si>
    <t>Title</t>
  </si>
  <si>
    <t>Web page</t>
  </si>
  <si>
    <t>Expected release date</t>
  </si>
  <si>
    <t>Beyond the Depths</t>
  </si>
  <si>
    <t>26-2</t>
  </si>
  <si>
    <t>Double Twist</t>
  </si>
  <si>
    <t>18-1</t>
  </si>
  <si>
    <t>Financials</t>
  </si>
  <si>
    <t>Product Category</t>
  </si>
  <si>
    <t>Gross Sales</t>
  </si>
  <si>
    <t>Costs</t>
  </si>
  <si>
    <t>Profit</t>
  </si>
  <si>
    <t>Comments</t>
  </si>
  <si>
    <t>Games</t>
  </si>
  <si>
    <t>Outdoor Toys</t>
  </si>
  <si>
    <t>New</t>
  </si>
  <si>
    <t>Action Figures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</si>
</sst>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44" formatCode="_(&quot;$&quot;* #,##0.00_);_(&quot;$&quot;* \(#,##0.00\);_(&quot;$&quot;* &quot;-&quot;??_);_(@_)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2"/>
      <color theme="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0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0" tint="-0.149998474074526"/>
        <bgColor theme="0" tint="-0.149998474074526"/>
      </patternFill>
    </fill>
  </fills>
  <borders count="5">
    <border>
      <left/>
      <right/>
      <top/>
      <bottom/>
      <diagonal/>
    </border>
    <border>
      <left/>
      <right style="thin">
        <color theme="4" tint="0.399975585192419"/>
      </right>
      <top style="thin">
        <color theme="4" tint="0.399975585192419"/>
      </top>
      <bottom style="thin">
        <color theme="4" tint="0.399975585192419"/>
      </bottom>
      <diagonal/>
    </border>
    <border>
      <left/>
      <right/>
      <top style="double">
        <color theme="1"/>
      </top>
      <bottom style="medium">
        <color theme="1"/>
      </bottom>
      <diagonal/>
    </border>
    <border>
      <left/>
      <right/>
      <top style="medium">
        <color theme="1"/>
      </top>
      <bottom/>
      <diagonal/>
    </border>
    <border>
      <left/>
      <right/>
      <top/>
      <bottom style="thick">
        <color theme="4"/>
      </bottom>
      <diagonal/>
    </border>
  </borders>
  <cellStyleXfs count="5">
    <xf numFmtId="0" fontId="0" fillId="0" borderId="0"/>
    <xf numFmtId="41" applyNumberFormat="1" fontId="1" applyFont="0" fillId="0" applyFill="0" borderId="0" applyBorder="0" applyProtection="0" applyAlignment="0"/>
    <xf numFmtId="44" applyNumberFormat="1" fontId="1" applyFont="0" fillId="0" applyFill="0" borderId="0" applyBorder="0" applyProtection="0" applyAlignment="0"/>
    <xf numFmtId="0" applyNumberFormat="0" fontId="6" applyFont="1" fillId="0" applyFill="0" borderId="4" applyBorder="1" applyProtection="0" applyAlignment="0"/>
    <xf numFmtId="0" applyNumberFormat="0" fontId="7" applyFont="1" fillId="0" applyFill="0" borderId="0" applyBorder="0" applyProtection="0" applyAlignment="1">
      <alignment vertical="top" wrapText="1"/>
    </xf>
  </cellStyleXfs>
  <cellXfs count="2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" applyFont="1" fillId="3" applyFill="1" borderId="0" xfId="0" applyAlignment="1">
      <alignment vertical="center"/>
    </xf>
    <xf numFmtId="41" applyNumberFormat="1" fontId="0" applyFont="1" fillId="0" borderId="0" xfId="1" applyAlignment="1">
      <alignment horizontal="left" vertical="center"/>
    </xf>
    <xf numFmtId="0" fontId="2" applyFont="1" fillId="3" applyFill="1" borderId="0" xfId="0" applyAlignment="1">
      <alignment horizontal="center" vertical="center"/>
    </xf>
    <xf numFmtId="0" fontId="2" applyFont="1" fillId="3" applyFill="1" borderId="1" applyBorder="1" xfId="0" applyAlignment="1">
      <alignment horizontal="center" vertical="center"/>
    </xf>
    <xf numFmtId="44" applyNumberFormat="1" fontId="0" applyFont="1" fillId="0" borderId="0" xfId="2" applyAlignment="1">
      <alignment horizontal="center" vertical="center"/>
    </xf>
    <xf numFmtId="44" applyNumberFormat="1" fontId="0" fillId="0" borderId="0" xfId="0" applyAlignment="1">
      <alignment horizontal="center" vertical="center"/>
    </xf>
    <xf numFmtId="0" fontId="3" applyFont="1" fillId="0" borderId="0" xfId="0"/>
    <xf numFmtId="0" fontId="0" fillId="5" applyFill="1" borderId="0" xfId="0"/>
    <xf numFmtId="0" fontId="0" fillId="0" borderId="2" applyBorder="1" xfId="0"/>
    <xf numFmtId="4" applyNumberFormat="1" fontId="0" fillId="0" borderId="0" xfId="0"/>
    <xf numFmtId="4" applyNumberFormat="1" fontId="0" fillId="5" applyFill="1" borderId="0" xfId="0"/>
    <xf numFmtId="44" applyNumberFormat="1" fontId="0" applyFont="1" fillId="0" borderId="0" xfId="2"/>
    <xf numFmtId="44" applyNumberFormat="1" fontId="0" applyFont="1" fillId="5" applyFill="1" borderId="0" xfId="2"/>
    <xf numFmtId="44" applyNumberFormat="1" fontId="0" applyFont="1" fillId="0" borderId="2" applyBorder="1" xfId="2"/>
    <xf numFmtId="0" fontId="2" applyFont="1" fillId="4" applyFill="1" borderId="3" applyBorder="1" xfId="0"/>
    <xf numFmtId="0" fontId="0" fillId="5" applyFill="1" borderId="3" applyBorder="1" xfId="0"/>
    <xf numFmtId="4" applyNumberFormat="1" fontId="0" fillId="5" applyFill="1" borderId="3" applyBorder="1" xfId="0"/>
    <xf numFmtId="44" applyNumberFormat="1" fontId="0" applyFont="1" fillId="5" applyFill="1" borderId="3" applyBorder="1" xfId="2"/>
    <xf numFmtId="4" applyNumberFormat="1" fontId="0" fillId="0" borderId="2" applyBorder="1" xfId="0"/>
    <xf numFmtId="0" fontId="4" applyFont="1" fillId="2" applyFill="1" borderId="0" xfId="0" applyAlignment="1">
      <alignment horizontal="left" vertical="center"/>
    </xf>
    <xf numFmtId="0" fontId="5" applyFont="1" fillId="2" applyFill="1" borderId="0" xfId="0" applyAlignment="1">
      <alignment horizontal="center" vertical="center"/>
    </xf>
    <xf numFmtId="0" fontId="3" applyFont="1" fillId="0" borderId="0" xfId="0" applyAlignment="1">
      <alignment horizontal="center" vertical="center"/>
    </xf>
  </cellXfs>
  <cellStyles count="5">
    <cellStyle name="Comma [0]" xfId="1" builtinId="6"/>
    <cellStyle name="Currency" xfId="2" builtinId="4"/>
    <cellStyle name="Heading 1" xfId="3" builtinId="16"/>
    <cellStyle name="Normal" xfId="0" builtinId="0"/>
    <cellStyle name="Normal 2" xfId="4" xr:uid="{00000000-0005-0000-0000-000004000000}"/>
  </cellStyles>
  <dxfs count="12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(&quot;$&quot;* #,##0.00_);_(&quot;$&quot;* \(#,##0.00\);_(&quot;$&quot;* &quot;-&quot;??_);_(@_)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(&quot;$&quot;* #,##0.00_);_(&quot;$&quot;* \(#,##0.00\);_(&quot;$&quot;* &quot;-&quot;??_);_(@_)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(&quot;$&quot;* #,##0.00_);_(&quot;$&quot;* \(#,##0.00\);_(&quot;$&quot;* &quot;-&quot;??_);_(@_)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9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/Relationships>
</file>

<file path=xl/charts/_rels/chart1.xml.rels><?xml version="1.0" encoding="UTF-8" standalone="yes"?>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Product Sales and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'Shareholders Info'!$B$10</c:f>
              <c:strCache>
                <c:ptCount val="1"/>
                <c:pt idx="0">
                  <c:v>Gross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'Shareholders Info'!$A$11:$A$13</c:f>
              <c:strCache>
                <c:ptCount val="3"/>
                <c:pt idx="0">
                  <c:v> Games </c:v>
                </c:pt>
                <c:pt idx="1">
                  <c:v> Outdoor Toys </c:v>
                </c:pt>
                <c:pt idx="2">
                  <c:v> Action Figures </c:v>
                </c:pt>
              </c:strCache>
            </c:strRef>
          </c:cat>
          <c:val>
            <c:numRef>
              <c:f>'Shareholders Info'!$B$11:$B$13</c:f>
              <c:numCache>
                <c:formatCode>_("$"* #,##0.00_);_("$"* \(#,##0.00\);_("$"* "-"??_);_(@_)</c:formatCode>
                <c:ptCount val="3"/>
                <c:pt idx="0">
                  <c:v>1500000</c:v>
                </c:pt>
                <c:pt idx="1">
                  <c:v>700000</c:v>
                </c:pt>
                <c:pt idx="2">
                  <c:v>1400000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CC-49D6-BFE9-0DC24C714B65}"/>
            </c:ext>
          </c:extLst>
        </c:ser>
        <c:ser>
          <c:idx val="1"/>
          <c:order val="1"/>
          <c:tx>
            <c:strRef>
              <c:f>'Shareholders Info'!$C$10</c:f>
              <c:strCache>
                <c:ptCount val="1"/>
                <c:pt idx="0">
                  <c:v>Costs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'Shareholders Info'!$A$11:$A$13</c:f>
              <c:strCache>
                <c:ptCount val="3"/>
                <c:pt idx="0">
                  <c:v> Games </c:v>
                </c:pt>
                <c:pt idx="1">
                  <c:v> Outdoor Toys </c:v>
                </c:pt>
                <c:pt idx="2">
                  <c:v> Action Figures </c:v>
                </c:pt>
              </c:strCache>
            </c:strRef>
          </c:cat>
          <c:val>
            <c:numRef>
              <c:f>'Shareholders Info'!$C$11:$C$13</c:f>
              <c:numCache>
                <c:formatCode>_("$"* #,##0.00_);_("$"* \(#,##0.00\);_("$"* "-"??_);_(@_)</c:formatCode>
                <c:ptCount val="3"/>
                <c:pt idx="0">
                  <c:v>1100000</c:v>
                </c:pt>
                <c:pt idx="1">
                  <c:v>110000</c:v>
                </c:pt>
                <c:pt idx="2">
                  <c:v>1200000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CC-49D6-BFE9-0DC24C714B65}"/>
            </c:ext>
          </c:extLst>
        </c:ser>
        <c:ser>
          <c:idx val="2"/>
          <c:order val="2"/>
          <c:tx>
            <c:strRef>
              <c:f>'Shareholders Info'!$D$10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'Shareholders Info'!$A$11:$A$13</c:f>
              <c:strCache>
                <c:ptCount val="3"/>
                <c:pt idx="0">
                  <c:v> Games </c:v>
                </c:pt>
                <c:pt idx="1">
                  <c:v> Outdoor Toys </c:v>
                </c:pt>
                <c:pt idx="2">
                  <c:v> Action Figures </c:v>
                </c:pt>
              </c:strCache>
            </c:strRef>
          </c:cat>
          <c:val>
            <c:numRef>
              <c:f>'Shareholders Info'!$D$11:$D$13</c:f>
              <c:numCache>
                <c:formatCode>_("$"* #,##0.00_);_("$"* \(#,##0.00\);_("$"* "-"??_);_(@_)</c:formatCode>
                <c:ptCount val="3"/>
                <c:pt idx="0">
                  <c:v>1500000</c:v>
                </c:pt>
                <c:pt idx="1">
                  <c:v>-40500</c:v>
                </c:pt>
                <c:pt idx="2">
                  <c:v>1230000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2CC-49D6-BFE9-0DC24C714B65}"/>
            </c:ext>
          </c:extLst>
        </c:ser>
        <c:ser>
          <c:idx val="3"/>
          <c:order val="3"/>
          <c:tx>
            <c:strRef>
              <c:f>'Shareholders Info'!$E$10</c:f>
              <c:strCache>
                <c:ptCount val="1"/>
                <c:pt idx="0">
                  <c:v>Comments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'Shareholders Info'!$A$11:$A$13</c:f>
              <c:strCache>
                <c:ptCount val="3"/>
                <c:pt idx="0">
                  <c:v> Games </c:v>
                </c:pt>
                <c:pt idx="1">
                  <c:v> Outdoor Toys </c:v>
                </c:pt>
                <c:pt idx="2">
                  <c:v> Action Figures </c:v>
                </c:pt>
              </c:strCache>
            </c:strRef>
          </c:cat>
          <c:val>
            <c:numRef>
              <c:f>'Shareholders Info'!$E$11:$E$13</c:f>
              <c:numCache>
                <c:formatCode>General</c:formatCode>
                <c:ptCount val="3"/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2CC-49D6-BFE9-0DC24C714B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5207624"/>
        <c:axId val="211867520"/>
      </c:barChart>
      <c:catAx>
        <c:axId val="145207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867520"/>
        <c:crosses val="autoZero"/>
        <c:auto val="1"/>
        <c:lblAlgn val="ctr"/>
        <c:lblOffset val="100"/>
        <c:noMultiLvlLbl val="0"/>
      </c:catAx>
      <c:valAx>
        <c:axId val="211867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207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261937</xdr:colOff>
      <xdr:row>15</xdr:row>
      <xdr:rowOff>161925</xdr:rowOff>
    </xdr:from>
    <xdr:to>
      <xdr:col>4</xdr:col>
      <xdr:colOff>1133475</xdr:colOff>
      <xdr:row>28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2:F9" totalsRowCount="1">
  <autoFilter ref="A2:F8" xr:uid="{00000000-0009-0000-0100-000002000000}"/>
  <tableColumns count="6">
    <tableColumn id="1" xr3:uid="{00000000-0010-0000-0000-000001000000}" name="Category" totalsRowLabel="Total"/>
    <tableColumn id="2" xr3:uid="{00000000-0010-0000-0000-000002000000}" name="Subcategory"/>
    <tableColumn id="3" xr3:uid="{00000000-0010-0000-0000-000003000000}" name="Q1 Sales" totalsRowFunction="custom" dataCellStyle="Currency">
      <totalsRowFormula>SUM(Table2[Q1 Sales])</totalsRowFormula>
    </tableColumn>
    <tableColumn id="4" xr3:uid="{00000000-0010-0000-0000-000004000000}" name="Q2 Sales" totalsRowFunction="custom" dataCellStyle="Currency">
      <totalsRowFormula>SUM(Table2[Q2 Sales])</totalsRowFormula>
    </tableColumn>
    <tableColumn id="5" xr3:uid="{00000000-0010-0000-0000-000005000000}" name="Q3 Sales" totalsRowFunction="custom" dataCellStyle="Currency">
      <totalsRowFormula>SUM(Table2[Q3 Sales])</totalsRowFormula>
    </tableColumn>
    <tableColumn id="6" xr3:uid="{00000000-0010-0000-0000-000006000000}" name="Q4 Sales" totalsRowFunction="custom" dataCellStyle="Currency">
      <totalsRowFormula>SUM(Table2[Q4 Sales])</totalsRowFormula>
    </tableColumn>
  </tableColumns>
  <tableStyleInfo name="TableStyleMedium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3" displayName="Table3" ref="A12:F19" totalsRowCount="1">
  <autoFilter ref="A12:F18" xr:uid="{00000000-0009-0000-0100-000003000000}"/>
  <tableColumns count="6">
    <tableColumn id="1" xr3:uid="{00000000-0010-0000-0100-000001000000}" name="Category" totalsRowLabel="Total"/>
    <tableColumn id="2" xr3:uid="{00000000-0010-0000-0100-000002000000}" name="Column1"/>
    <tableColumn id="3" xr3:uid="{00000000-0010-0000-0100-000003000000}" name="Q1" totalsRowFunction="custom" dataCellStyle="Currency">
      <totalsRowFormula>SUM(Table3[Q1])</totalsRowFormula>
    </tableColumn>
    <tableColumn id="4" xr3:uid="{00000000-0010-0000-0100-000004000000}" name="Q2" totalsRowFunction="custom" dataCellStyle="Currency">
      <totalsRowFormula>SUM(Table3[Q2])</totalsRowFormula>
    </tableColumn>
    <tableColumn id="5" xr3:uid="{00000000-0010-0000-0100-000005000000}" name="Q3" totalsRowFunction="custom" dataCellStyle="Currency">
      <totalsRowFormula>SUM(Table3[Q3])</totalsRowFormula>
    </tableColumn>
    <tableColumn id="6" xr3:uid="{00000000-0010-0000-0100-000006000000}" name="Q4" totalsRowFunction="custom" dataCellStyle="Currency">
      <totalsRowFormula>SUM(Table3[Q4])</totalsRowFormula>
    </tableColumn>
  </tableColumns>
  <tableStyleInfo name="TableStyleMedium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Table1" displayName="Table1" ref="A10:E14" totalsRowCount="1" headerRowDxfId="11" dataDxfId="0">
  <autoFilter ref="A10:E13" xr:uid="{00000000-0009-0000-0100-000001000000}"/>
  <tableColumns count="5">
    <tableColumn id="1" xr3:uid="{00000000-0010-0000-0200-000001000000}" name="Product Category" totalsRowLabel="Total" dataDxfId="9" totalsRowDxfId="8" dataCellStyle="Comma [0]"/>
    <tableColumn id="2" xr3:uid="{00000000-0010-0000-0200-000002000000}" name="Gross Sales" totalsRowFunction="custom" dataDxfId="0" totalsRowDxfId="2" dataCellStyle="Currency">
      <totalsRowFormula>SUM(Table1[Gross Sales])</totalsRowFormula>
    </tableColumn>
    <tableColumn id="3" xr3:uid="{00000000-0010-0000-0200-000003000000}" name="Costs" totalsRowFunction="custom" dataDxfId="0" totalsRowDxfId="2" dataCellStyle="Currency">
      <totalsRowFormula>SUM(Table1[Costs])</totalsRowFormula>
    </tableColumn>
    <tableColumn id="4" xr3:uid="{00000000-0010-0000-0200-000004000000}" name="Profit" totalsRowFunction="custom" dataDxfId="0" totalsRowDxfId="2" dataCellStyle="Currency">
      <totalsRowFormula>SUM(Table1[Profit])</totalsRowFormula>
    </tableColumn>
    <tableColumn id="5" xr3:uid="{00000000-0010-0000-0200-000005000000}" name="Comments" totalsRowFunction="count" dataDxfId="0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tabSelected="1" workbookViewId="0">
      <selection activeCell="F20" sqref="F20"/>
    </sheetView>
  </sheetViews>
  <sheetFormatPr defaultRowHeight="15" x14ac:dyDescent="0.25"/>
  <cols>
    <col min="1" max="1" width="19.140625" customWidth="1"/>
    <col min="2" max="2" bestFit="1" width="14.140625" customWidth="1"/>
    <col min="3" max="6" bestFit="1" width="14.28515625" customWidth="1"/>
  </cols>
  <sheetData>
    <row r="1">
      <c r="A1" s="9" t="s">
        <v>0</v>
      </c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</row>
    <row r="3">
      <c r="A3" s="0" t="s">
        <v>7</v>
      </c>
      <c r="C3" s="14">
        <v>900000</v>
      </c>
      <c r="D3" s="14">
        <v>860000</v>
      </c>
      <c r="E3" s="14">
        <v>880000</v>
      </c>
      <c r="F3" s="14">
        <v>980000</v>
      </c>
    </row>
    <row r="4">
      <c r="A4" s="0" t="s">
        <v>8</v>
      </c>
      <c r="B4" s="0" t="s">
        <v>9</v>
      </c>
      <c r="C4" s="14">
        <v>450000</v>
      </c>
      <c r="D4" s="14">
        <v>520000</v>
      </c>
      <c r="E4" s="14">
        <v>460000</v>
      </c>
      <c r="F4" s="14">
        <v>650000</v>
      </c>
    </row>
    <row r="5">
      <c r="B5" s="0" t="s">
        <v>10</v>
      </c>
      <c r="C5" s="14">
        <v>600000</v>
      </c>
      <c r="D5" s="14">
        <v>450000</v>
      </c>
      <c r="E5" s="14">
        <v>400000</v>
      </c>
      <c r="F5" s="14">
        <v>700000</v>
      </c>
    </row>
    <row r="6">
      <c r="B6" s="0" t="s">
        <v>11</v>
      </c>
      <c r="C6" s="14">
        <v>750000</v>
      </c>
      <c r="D6" s="14">
        <v>850000</v>
      </c>
      <c r="E6" s="14">
        <v>600000</v>
      </c>
      <c r="F6" s="14">
        <v>720000</v>
      </c>
    </row>
    <row r="7">
      <c r="A7" s="0" t="s">
        <v>12</v>
      </c>
      <c r="C7" s="14">
        <v>1200000</v>
      </c>
      <c r="D7" s="14">
        <v>1000000</v>
      </c>
      <c r="E7" s="14">
        <v>1050000</v>
      </c>
      <c r="F7" s="14">
        <v>950000</v>
      </c>
    </row>
    <row r="8">
      <c r="A8" s="0" t="s">
        <v>13</v>
      </c>
      <c r="C8" s="14">
        <v>200000</v>
      </c>
      <c r="D8" s="14">
        <v>250000</v>
      </c>
      <c r="E8" s="14">
        <v>150000</v>
      </c>
      <c r="F8" s="14">
        <v>220000</v>
      </c>
    </row>
    <row r="9">
      <c r="A9" s="0" t="s">
        <v>14</v>
      </c>
      <c r="C9" s="14">
        <f>SUM(Table2[Q1 Sales])</f>
        <v>4100000</v>
      </c>
      <c r="D9" s="14">
        <f>SUM(Table2[Q2 Sales])</f>
        <v>3930000</v>
      </c>
      <c r="E9" s="14">
        <f>SUM(Table2[Q3 Sales])</f>
        <v>3540000</v>
      </c>
      <c r="F9" s="14">
        <f>SUM(Table2[Q4 Sales])</f>
        <v>4220000</v>
      </c>
    </row>
    <row r="11">
      <c r="A11" s="9" t="s">
        <v>15</v>
      </c>
    </row>
    <row r="12">
      <c r="A12" s="0" t="s">
        <v>1</v>
      </c>
      <c r="B12" s="0" t="s">
        <v>16</v>
      </c>
      <c r="C12" s="0" t="s">
        <v>17</v>
      </c>
      <c r="D12" s="0" t="s">
        <v>18</v>
      </c>
      <c r="E12" s="0" t="s">
        <v>19</v>
      </c>
      <c r="F12" s="0" t="s">
        <v>20</v>
      </c>
    </row>
    <row r="13">
      <c r="A13" s="0" t="s">
        <v>21</v>
      </c>
      <c r="B13" s="12"/>
      <c r="C13" s="14">
        <v>450000</v>
      </c>
      <c r="D13" s="14">
        <v>450000</v>
      </c>
      <c r="E13" s="14">
        <v>450000</v>
      </c>
      <c r="F13" s="14">
        <v>450000</v>
      </c>
    </row>
    <row r="14">
      <c r="A14" s="0" t="s">
        <v>22</v>
      </c>
      <c r="B14" s="12"/>
      <c r="C14" s="14">
        <v>90000</v>
      </c>
      <c r="D14" s="14">
        <v>95000</v>
      </c>
      <c r="E14" s="14">
        <v>97000</v>
      </c>
      <c r="F14" s="14">
        <v>98000</v>
      </c>
    </row>
    <row r="15">
      <c r="A15" s="0" t="s">
        <v>23</v>
      </c>
      <c r="B15" s="12"/>
      <c r="C15" s="14">
        <v>300000</v>
      </c>
      <c r="D15" s="14">
        <v>300000</v>
      </c>
      <c r="E15" s="14">
        <v>300000</v>
      </c>
      <c r="F15" s="14">
        <v>300000</v>
      </c>
    </row>
    <row r="16">
      <c r="A16" s="0" t="s">
        <v>24</v>
      </c>
      <c r="B16" s="12"/>
      <c r="C16" s="14">
        <v>500000</v>
      </c>
      <c r="D16" s="14">
        <v>500000</v>
      </c>
      <c r="E16" s="14">
        <v>500000</v>
      </c>
      <c r="F16" s="14">
        <v>500000</v>
      </c>
    </row>
    <row r="17">
      <c r="A17" s="0" t="s">
        <v>25</v>
      </c>
      <c r="B17" s="12"/>
      <c r="C17" s="14">
        <v>600000</v>
      </c>
      <c r="D17" s="14">
        <v>600000</v>
      </c>
      <c r="E17" s="14">
        <v>600000</v>
      </c>
      <c r="F17" s="14">
        <v>600000</v>
      </c>
    </row>
    <row r="18">
      <c r="A18" s="0" t="s">
        <v>26</v>
      </c>
      <c r="B18" s="12"/>
      <c r="C18" s="14">
        <v>1000000</v>
      </c>
      <c r="D18" s="14">
        <v>1000000</v>
      </c>
      <c r="E18" s="14">
        <v>1000000</v>
      </c>
      <c r="F18" s="14">
        <v>1000000</v>
      </c>
    </row>
    <row r="19">
      <c r="A19" s="0" t="s">
        <v>14</v>
      </c>
      <c r="C19" s="14">
        <f>SUM(Table3[Q1])</f>
        <v>2940000</v>
      </c>
      <c r="D19" s="14">
        <f>SUM(Table3[Q2])</f>
        <v>2945000</v>
      </c>
      <c r="E19" s="14">
        <f>SUM(Table3[Q3])</f>
        <v>2947000</v>
      </c>
      <c r="F19" s="14">
        <f>SUM(Table3[Q4])</f>
        <v>2948000</v>
      </c>
    </row>
  </sheetData>
  <pageMargins left="0.7" right="0.7" top="0.75" bottom="0.75" header="0.3" footer="0.3"/>
  <headerFooter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>
      <selection activeCell="C5" sqref="C5"/>
    </sheetView>
  </sheetViews>
  <sheetFormatPr defaultRowHeight="15" x14ac:dyDescent="0.25"/>
  <cols>
    <col min="1" max="5" width="26.28515625" customWidth="1" style="1"/>
  </cols>
  <sheetData>
    <row r="1" ht="64.5" customHeight="1">
      <c r="A1" s="23" t="s">
        <v>27</v>
      </c>
      <c r="B1" s="23"/>
      <c r="C1" s="23"/>
      <c r="D1" s="23"/>
      <c r="E1" s="23"/>
    </row>
    <row r="2">
      <c r="A2" s="24" t="s">
        <v>28</v>
      </c>
      <c r="B2" s="24"/>
      <c r="C2" s="24"/>
      <c r="D2" s="24"/>
      <c r="E2" s="24"/>
    </row>
    <row r="3">
      <c r="A3" s="22" t="s">
        <v>29</v>
      </c>
      <c r="B3" s="22"/>
      <c r="C3" s="22"/>
      <c r="D3" s="22"/>
      <c r="E3" s="22"/>
    </row>
    <row r="4">
      <c r="A4" s="3" t="s">
        <v>30</v>
      </c>
      <c r="B4" s="3"/>
      <c r="C4" s="3" t="s">
        <v>31</v>
      </c>
      <c r="D4" s="3"/>
      <c r="E4" s="6" t="s">
        <v>32</v>
      </c>
    </row>
    <row r="5">
      <c r="A5" s="2" t="s">
        <v>33</v>
      </c>
      <c r="E5" s="1" t="s">
        <v>34</v>
      </c>
    </row>
    <row r="6">
      <c r="A6" s="2" t="s">
        <v>35</v>
      </c>
      <c r="E6" s="1" t="s">
        <v>36</v>
      </c>
    </row>
    <row r="7">
      <c r="A7" s="2"/>
    </row>
    <row r="8">
      <c r="A8" s="2"/>
    </row>
    <row r="9">
      <c r="A9" s="22" t="s">
        <v>37</v>
      </c>
      <c r="B9" s="22"/>
      <c r="C9" s="22"/>
      <c r="D9" s="22"/>
      <c r="E9" s="22"/>
    </row>
    <row r="10">
      <c r="A10" s="5" t="s">
        <v>38</v>
      </c>
      <c r="B10" s="5" t="s">
        <v>39</v>
      </c>
      <c r="C10" s="5" t="s">
        <v>40</v>
      </c>
      <c r="D10" s="5" t="s">
        <v>41</v>
      </c>
      <c r="E10" s="5" t="s">
        <v>42</v>
      </c>
    </row>
    <row r="11">
      <c r="A11" s="4" t="s">
        <v>43</v>
      </c>
      <c r="B11" s="7">
        <v>1500000</v>
      </c>
      <c r="C11" s="7">
        <v>1100000</v>
      </c>
      <c r="D11" s="7">
        <v>1500000</v>
      </c>
    </row>
    <row r="12">
      <c r="A12" s="4" t="s">
        <v>44</v>
      </c>
      <c r="B12" s="7">
        <v>700000</v>
      </c>
      <c r="C12" s="7">
        <v>110000</v>
      </c>
      <c r="D12" s="7">
        <v>-40500</v>
      </c>
      <c r="E12" s="1" t="s">
        <v>45</v>
      </c>
    </row>
    <row r="13">
      <c r="A13" s="4" t="s">
        <v>46</v>
      </c>
      <c r="B13" s="7">
        <v>1400000</v>
      </c>
      <c r="C13" s="7">
        <v>1200000</v>
      </c>
      <c r="D13" s="7">
        <v>1230000</v>
      </c>
    </row>
    <row r="14">
      <c r="A14" s="2" t="s">
        <v>14</v>
      </c>
      <c r="B14" s="8">
        <f>SUM(Table1[Gross Sales])</f>
        <v>3600000</v>
      </c>
      <c r="C14" s="8">
        <f>SUM(Table1[Costs])</f>
        <v>2410000</v>
      </c>
      <c r="D14" s="8">
        <f>SUM(Table1[Profit])</f>
        <v>2689500</v>
      </c>
      <c r="E14" s="1">
        <f>SUBTOTAL(103,Table1[Comments])</f>
        <v>1</v>
      </c>
    </row>
  </sheetData>
  <mergeCells>
    <mergeCell ref="A3:E3"/>
    <mergeCell ref="A1:E1"/>
    <mergeCell ref="A2:E2"/>
    <mergeCell ref="A9:E9"/>
  </mergeCells>
  <pageMargins left="0.7" right="0.7" top="0.75" bottom="0.75" header="0.3" footer="0.3"/>
  <pageSetup orientation="portrait"/>
  <headerFooter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9"/>
  <sheetViews>
    <sheetView workbookViewId="0">
      <selection activeCell="B9" sqref="B9:E9"/>
    </sheetView>
  </sheetViews>
  <sheetFormatPr defaultRowHeight="15" x14ac:dyDescent="0.25"/>
  <cols>
    <col min="1" max="1" width="19.140625" customWidth="1"/>
    <col min="2" max="5" bestFit="1" width="14.28515625" customWidth="1"/>
  </cols>
  <sheetData>
    <row r="1" ht="15.75">
      <c r="A1" s="9" t="s">
        <v>0</v>
      </c>
    </row>
    <row r="2" ht="15.75">
      <c r="A2" s="17" t="s">
        <v>1</v>
      </c>
      <c r="B2" s="17" t="s">
        <v>3</v>
      </c>
      <c r="C2" s="17" t="s">
        <v>4</v>
      </c>
      <c r="D2" s="17" t="s">
        <v>5</v>
      </c>
      <c r="E2" s="17" t="s">
        <v>6</v>
      </c>
    </row>
    <row r="3">
      <c r="A3" s="18" t="s">
        <v>7</v>
      </c>
      <c r="B3" s="19">
        <v>900000</v>
      </c>
      <c r="C3" s="19">
        <v>860000</v>
      </c>
      <c r="D3" s="19">
        <v>880000</v>
      </c>
      <c r="E3" s="19">
        <v>980000</v>
      </c>
    </row>
    <row r="4">
      <c r="A4" s="0" t="s">
        <v>8</v>
      </c>
      <c r="B4" s="12">
        <v>450000</v>
      </c>
      <c r="C4" s="12">
        <v>520000</v>
      </c>
      <c r="D4" s="12">
        <v>460000</v>
      </c>
      <c r="E4" s="12">
        <v>650000</v>
      </c>
    </row>
    <row r="5">
      <c r="A5" s="10" t="s">
        <v>10</v>
      </c>
      <c r="B5" s="13">
        <v>600000</v>
      </c>
      <c r="C5" s="13">
        <v>450000</v>
      </c>
      <c r="D5" s="13">
        <v>400000</v>
      </c>
      <c r="E5" s="13">
        <v>700000</v>
      </c>
    </row>
    <row r="6">
      <c r="A6" s="0" t="s">
        <v>11</v>
      </c>
      <c r="B6" s="12">
        <v>750000</v>
      </c>
      <c r="C6" s="12">
        <v>850000</v>
      </c>
      <c r="D6" s="12">
        <v>600000</v>
      </c>
      <c r="E6" s="12">
        <v>720000</v>
      </c>
    </row>
    <row r="7">
      <c r="A7" s="10" t="s">
        <v>12</v>
      </c>
      <c r="B7" s="13">
        <v>1200000</v>
      </c>
      <c r="C7" s="13">
        <v>1000000</v>
      </c>
      <c r="D7" s="13">
        <v>1050000</v>
      </c>
      <c r="E7" s="13">
        <v>950000</v>
      </c>
    </row>
    <row r="8" ht="15.75">
      <c r="A8" s="0" t="s">
        <v>13</v>
      </c>
      <c r="B8" s="12">
        <v>200000</v>
      </c>
      <c r="C8" s="12">
        <v>250000</v>
      </c>
      <c r="D8" s="12">
        <v>150000</v>
      </c>
      <c r="E8" s="12">
        <v>220000</v>
      </c>
    </row>
    <row r="9" ht="16.5">
      <c r="A9" s="11" t="s">
        <v>14</v>
      </c>
      <c r="B9" s="21">
        <f>SUM(B3:B8)</f>
        <v>4100000</v>
      </c>
      <c r="C9" s="21">
        <f ref="C9:E9" t="shared" si="0">SUM(C3:C8)</f>
        <v>3930000</v>
      </c>
      <c r="D9" s="21">
        <f t="shared" si="0"/>
        <v>3540000</v>
      </c>
      <c r="E9" s="21">
        <f t="shared" si="0"/>
        <v>4220000</v>
      </c>
    </row>
    <row r="11" ht="15.75">
      <c r="A11" s="9" t="s">
        <v>15</v>
      </c>
    </row>
    <row r="12" ht="15.75">
      <c r="A12" s="17" t="s">
        <v>1</v>
      </c>
      <c r="B12" s="17" t="s">
        <v>17</v>
      </c>
      <c r="C12" s="17" t="s">
        <v>18</v>
      </c>
      <c r="D12" s="17" t="s">
        <v>19</v>
      </c>
      <c r="E12" s="17" t="s">
        <v>20</v>
      </c>
    </row>
    <row r="13">
      <c r="A13" s="18" t="s">
        <v>21</v>
      </c>
      <c r="B13" s="20">
        <v>450000</v>
      </c>
      <c r="C13" s="20">
        <v>450000</v>
      </c>
      <c r="D13" s="20">
        <v>450000</v>
      </c>
      <c r="E13" s="20">
        <v>450000</v>
      </c>
    </row>
    <row r="14">
      <c r="A14" s="0" t="s">
        <v>22</v>
      </c>
      <c r="B14" s="14">
        <v>90000</v>
      </c>
      <c r="C14" s="14">
        <v>95000</v>
      </c>
      <c r="D14" s="14">
        <v>97000</v>
      </c>
      <c r="E14" s="14">
        <v>98000</v>
      </c>
    </row>
    <row r="15">
      <c r="A15" s="10" t="s">
        <v>23</v>
      </c>
      <c r="B15" s="15">
        <v>300000</v>
      </c>
      <c r="C15" s="15">
        <v>300000</v>
      </c>
      <c r="D15" s="15">
        <v>300000</v>
      </c>
      <c r="E15" s="15">
        <v>300000</v>
      </c>
    </row>
    <row r="16">
      <c r="A16" s="0" t="s">
        <v>24</v>
      </c>
      <c r="B16" s="14">
        <v>500000</v>
      </c>
      <c r="C16" s="14">
        <v>500000</v>
      </c>
      <c r="D16" s="14">
        <v>500000</v>
      </c>
      <c r="E16" s="14">
        <v>500000</v>
      </c>
    </row>
    <row r="17">
      <c r="A17" s="10" t="s">
        <v>25</v>
      </c>
      <c r="B17" s="15">
        <v>600000</v>
      </c>
      <c r="C17" s="15">
        <v>600000</v>
      </c>
      <c r="D17" s="15">
        <v>600000</v>
      </c>
      <c r="E17" s="15">
        <v>600000</v>
      </c>
    </row>
    <row r="18" ht="15.75">
      <c r="A18" s="0" t="s">
        <v>26</v>
      </c>
      <c r="B18" s="14">
        <v>1000000</v>
      </c>
      <c r="C18" s="14">
        <v>1000000</v>
      </c>
      <c r="D18" s="14">
        <v>1000000</v>
      </c>
      <c r="E18" s="14">
        <v>1000000</v>
      </c>
    </row>
    <row r="19" ht="16.5">
      <c r="A19" s="11" t="s">
        <v>14</v>
      </c>
      <c r="B19" s="16">
        <f>SUM('Outdoor toys'!$B$13:$B$18)</f>
        <v>2940000</v>
      </c>
      <c r="C19" s="16">
        <f>SUM('Outdoor toys'!$C$13:$C$18)</f>
        <v>2945000</v>
      </c>
      <c r="D19" s="16">
        <f>SUM('Outdoor toys'!$D$13:$D$18)</f>
        <v>2947000</v>
      </c>
      <c r="E19" s="16">
        <f>SUM('Outdoor toys'!$E$13:$E$18)</f>
        <v>2948000</v>
      </c>
    </row>
  </sheetData>
  <pageMargins left="0.7" right="0.7" top="0.75" bottom="0.75" header="0.3" footer="0.3"/>
  <headerFooter/>
</worksheet>
</file>

<file path=EPPlusLicense.txt>This workbook was created with the EPPlus library, licensed to Alo1234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Games</vt:lpstr>
      <vt:lpstr>Shareholders Info</vt:lpstr>
      <vt:lpstr>Outdoor toys</vt:lpstr>
      <vt:lpstr>Help</vt:lpstr>
    </vt:vector>
  </TitlesOfParts>
  <Company/>
  <LinksUpToDate>false</LinksUpToDate>
  <SharedDoc>false</SharedDoc>
  <HyperlinksChanged>false</HyperlinksChanged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Alo1234</dc:creator>
  <cp:lastModifiedBy/>
  <dcterms:created xsi:type="dcterms:W3CDTF">2006-09-16T00:00:00Z</dcterms:created>
  <dcterms:modified xsi:type="dcterms:W3CDTF">2025-07-08T10:05:47Z</dcterms:modified>
  <cp:keywords>EPPlus noncommercial use</cp:keywords>
  <dc:description>This workbook has been created with EPPlus licensed to Alo1234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