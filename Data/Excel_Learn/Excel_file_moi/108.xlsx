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hartsheet+xml" PartName="/xl/chartsheets/sheet1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sheetMetadata+xml" PartName="/xl/metadata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ms-office.chartstyle+xml" PartName="/xl/charts/style1.xml"/>
  <Override ContentType="application/vnd.ms-office.chartcolorstyle+xml" PartName="/xl/charts/colors1.xml"/>
  <Override ContentType="application/vnd.openxmlformats-officedocument.spreadsheetml.table+xml" PartName="/xl/tables/table4.xml"/>
  <Override ContentType="application/vnd.ms-excel.rdrichvaluetypes+xml" PartName="/xl/richData/rdRichValueTyp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ms-excel.rdrichvaluestructure+xml" PartName="/xl/richData/rdrichvaluestructure.xml"/>
  <Override ContentType="application/vnd.ms-excel.rdrichvalue+xml" PartName="/xl/richData/rdrichvalue.xml"/>
  <Override ContentType="application/vnd.ms-excel.rdarray+xml" PartName="/xl/richData/rdarray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975f0e77483dfe31/Desktop/Excel 2019/"/>
    </mc:Choice>
  </mc:AlternateContent>
  <xr:revisionPtr revIDLastSave="0" documentId="8_{C12BEF43-44E5-4FA8-B228-684657C79719}" xr6:coauthVersionLast="47" xr6:coauthVersionMax="47" xr10:uidLastSave="{00000000-0000-0000-0000-000000000000}"/>
  <bookViews>
    <workbookView xWindow="-30" yWindow="-30" windowWidth="20610" windowHeight="9195" xr2:uid="{00000000-000D-0000-FFFF-FFFF00000000}"/>
  </bookViews>
  <sheets>
    <sheet name="Tasks" sheetId="1" r:id="rId1"/>
    <sheet name="Projects" sheetId="2" r:id="rId2"/>
    <sheet name="Exams" sheetId="3" r:id="rId3"/>
    <sheet name="Score Distribution" sheetId="6" r:id="rId4"/>
    <sheet name="Grade Criteria" sheetId="5" r:id="rId5"/>
  </sheets>
  <calcPr calcId="191029" fullCalcOnLoad="1" fullPrecision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<sst xmlns="http://schemas.openxmlformats.org/spreadsheetml/2006/main" count="79" uniqueCount="79">
  <si>
    <t>Bellows College</t>
  </si>
  <si>
    <t>CS101 Microsoft Office Applications</t>
  </si>
  <si>
    <t>ID</t>
  </si>
  <si>
    <t xml:space="preserve">Name </t>
  </si>
  <si>
    <t>Task 1</t>
  </si>
  <si>
    <t>Task 2</t>
  </si>
  <si>
    <t>Task 3</t>
  </si>
  <si>
    <t>Task 4</t>
  </si>
  <si>
    <t>Task 5</t>
  </si>
  <si>
    <t>Task 6</t>
  </si>
  <si>
    <t xml:space="preserve">Task 7 </t>
  </si>
  <si>
    <t>Task 8</t>
  </si>
  <si>
    <t xml:space="preserve">Task 9 </t>
  </si>
  <si>
    <t>Task 10</t>
  </si>
  <si>
    <t>Task Total</t>
  </si>
  <si>
    <t>Alexander, Sean P.</t>
  </si>
  <si>
    <t>Argrow, NeKeta</t>
  </si>
  <si>
    <t>Barnett, Dave</t>
  </si>
  <si>
    <t>Bashary, Shay</t>
  </si>
  <si>
    <t>Brown, Jo</t>
  </si>
  <si>
    <t>Caro, Fermando</t>
  </si>
  <si>
    <t>Casparij, Gitte</t>
  </si>
  <si>
    <t>Cheng, Yao-Qiang</t>
  </si>
  <si>
    <t>Dansegiio, Mike</t>
  </si>
  <si>
    <t>Duffy, Torri Lee</t>
  </si>
  <si>
    <t>Project 1</t>
  </si>
  <si>
    <t>Project 2</t>
  </si>
  <si>
    <t>Project 3</t>
  </si>
  <si>
    <t>Project 4</t>
  </si>
  <si>
    <t>Project Total</t>
  </si>
  <si>
    <t>Project Statistics</t>
  </si>
  <si>
    <t>Average</t>
  </si>
  <si>
    <t>Maximum</t>
  </si>
  <si>
    <t>Minimum</t>
  </si>
  <si>
    <t>Exam 1</t>
  </si>
  <si>
    <t>Exam 2</t>
  </si>
  <si>
    <t>Exam 3</t>
  </si>
  <si>
    <t xml:space="preserve">Exam Total </t>
  </si>
  <si>
    <t>Course Total</t>
  </si>
  <si>
    <t>Grade</t>
  </si>
  <si>
    <t>Ersan, Ebru</t>
  </si>
  <si>
    <t>Ferreira, Sofia</t>
  </si>
  <si>
    <t>Garcia, Cesar</t>
  </si>
  <si>
    <t>Gregersen, Kirk</t>
  </si>
  <si>
    <t>Gunnarsson, Eva</t>
  </si>
  <si>
    <t>Haddock, Rich</t>
  </si>
  <si>
    <t>Herp, Jesper</t>
  </si>
  <si>
    <t>Hurtado, Begona</t>
  </si>
  <si>
    <t>Jacob, Sanjay</t>
  </si>
  <si>
    <t>Jones, Brannon</t>
  </si>
  <si>
    <t>Kurniawan, Peter</t>
  </si>
  <si>
    <t>Leal, Karina</t>
  </si>
  <si>
    <t>Li, Yan</t>
  </si>
  <si>
    <t>Li, Yuhong</t>
  </si>
  <si>
    <t>Mitchell, Linda</t>
  </si>
  <si>
    <t>Oliveira, Sasana</t>
  </si>
  <si>
    <t>Owen, Laura</t>
  </si>
  <si>
    <t>Purcell, Sean</t>
  </si>
  <si>
    <t>Riis, Bjarne</t>
  </si>
  <si>
    <t>Smith, Samantha</t>
  </si>
  <si>
    <t>Missing Exam Results</t>
  </si>
  <si>
    <t>Maximum Points</t>
  </si>
  <si>
    <t>Total Points</t>
  </si>
  <si>
    <t>Tasks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</si>
  <si>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</si>
  <si>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</si>
  <si>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</si>
  <si>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</si>
  <si>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</si>
  <si>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</si>
  <si>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</si>
  <si>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</si>
  <si>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</si>
  <si>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</si>
  <si>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Assignment Total</t>
  </si>
  <si>
    <t>Projects</t>
  </si>
  <si>
    <t>Exams</t>
  </si>
  <si>
    <t>Exams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</si>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</sst>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charset val="163"/>
      <scheme val="minor"/>
    </font>
    <font>
      <b/>
      <sz val="16"/>
      <color theme="1"/>
      <name val="Calibri"/>
      <family val="2"/>
      <charset val="163"/>
      <scheme val="minor"/>
    </font>
    <font>
      <b/>
      <sz val="11"/>
      <color theme="5" tint="-0.249977111117893"/>
      <name val="Calibri"/>
      <family val="2"/>
      <charset val="163"/>
      <scheme val="minor"/>
    </font>
    <font>
      <b/>
      <sz val="14"/>
      <color rgb="FFC00000"/>
      <name val="Calibri"/>
      <family val="2"/>
      <charset val="163"/>
      <scheme val="minor"/>
    </font>
    <font>
      <sz val="11"/>
      <color rgb="FFFFC000"/>
      <name val="Calibri"/>
      <family val="2"/>
      <scheme val="minor"/>
    </font>
    <font>
      <b/>
      <sz val="12"/>
      <color theme="0"/>
      <name val="Calibri"/>
      <family val="2"/>
      <charset val="163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theme="5" tint="0.799981688894314"/>
      </patternFill>
    </fill>
    <fill>
      <patternFill patternType="solid">
        <fgColor rgb="FFC0000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theme="5"/>
      </top>
      <bottom/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 tint="0.399975585192419"/>
      </bottom>
      <diagonal/>
    </border>
    <border>
      <left/>
      <right/>
      <top/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applyBorder="1" xfId="0"/>
    <xf numFmtId="0" fontId="0" fillId="0" borderId="2" applyBorder="1" xfId="0"/>
    <xf numFmtId="0" fontId="0" fillId="2" applyFill="1" borderId="0" xfId="0"/>
    <xf numFmtId="0" fontId="1" applyFont="1" fillId="2" applyFill="1" borderId="1" applyBorder="1" xfId="0"/>
    <xf numFmtId="0" fontId="1" applyFont="1" fillId="2" applyFill="1" borderId="3" applyBorder="1" xfId="0"/>
    <xf numFmtId="0" fontId="0" fillId="4" applyFill="1" borderId="3" applyBorder="1" xfId="0"/>
    <xf numFmtId="0" fontId="0" fillId="0" borderId="3" applyBorder="1" xfId="0"/>
    <xf numFmtId="0" fontId="0" fillId="4" applyFill="1" borderId="0" xfId="0"/>
    <xf numFmtId="0" fontId="0" fillId="0" borderId="0" xfId="0" applyAlignment="1">
      <alignment horizontal="center" vertical="center"/>
    </xf>
    <xf numFmtId="0" fontId="2" applyFont="1" fillId="2" applyFill="1" borderId="0" xfId="0"/>
    <xf numFmtId="0" fontId="3" applyFont="1" fillId="0" borderId="0" xfId="0"/>
    <xf numFmtId="0" fontId="5" applyFont="1" fillId="0" borderId="0" xfId="0"/>
    <xf numFmtId="0" fontId="0" fillId="0" borderId="0" xfId="0" applyAlignment="1">
      <alignment wrapText="1"/>
    </xf>
    <xf numFmtId="0" fontId="3" applyFont="1" fillId="0" borderId="0" xfId="0" applyAlignment="1">
      <alignment wrapText="1"/>
    </xf>
    <xf numFmtId="0" fontId="6" applyFont="1" fillId="0" borderId="0" xfId="0"/>
    <xf numFmtId="0" fontId="0" fillId="0" borderId="0" xfId="0" applyAlignment="1">
      <alignment horizontal="center"/>
    </xf>
    <xf numFmtId="0" fontId="0" fillId="5" applyFill="1" borderId="0" xfId="0"/>
    <xf numFmtId="0" fontId="3" applyFont="1" fillId="0" borderId="0" xfId="0" applyAlignment="1">
      <alignment horizontal="right" vertical="center"/>
    </xf>
    <xf numFmtId="0" fontId="3" applyFont="1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3" applyFont="1" fillId="0" borderId="0" xfId="0" applyAlignment="1">
      <alignment horizontal="right"/>
    </xf>
    <xf numFmtId="0" fontId="0" fillId="0" borderId="4" applyBorder="1" xfId="0" applyAlignment="1">
      <alignment horizontal="center"/>
    </xf>
    <xf numFmtId="0" fontId="6" applyFont="1" fillId="0" borderId="6" applyBorder="1" xfId="0"/>
    <xf numFmtId="0" fontId="0" fillId="0" borderId="6" applyBorder="1" xfId="0"/>
    <xf numFmtId="0" fontId="0" fillId="0" borderId="4" applyBorder="1" xfId="0" applyAlignment="1">
      <alignment horizontal="center" vertical="center"/>
    </xf>
    <xf numFmtId="0" fontId="3" applyFont="1" fillId="0" borderId="5" applyBorder="1" xfId="0"/>
    <xf numFmtId="0" fontId="7" applyFont="1" fillId="0" borderId="5" applyBorder="1" xfId="0"/>
    <xf numFmtId="0" fontId="4" applyFont="1" fillId="3" applyFill="1" borderId="0" xfId="0"/>
    <xf numFmtId="0" fontId="3" applyFont="1" fillId="3" applyFill="1" borderId="0" xfId="0"/>
    <xf numFmtId="0" fontId="0" fillId="0" borderId="0" xfId="0"/>
    <xf numFmtId="0" fontId="4" applyFont="1" fillId="3" applyFill="1" borderId="0" xfId="0" applyAlignment="1">
      <alignment vertical="center"/>
    </xf>
    <xf numFmtId="0" fontId="8" applyFont="1" fillId="5" applyFill="1" borderId="0" xfId="0" applyAlignment="1">
      <alignment horizontal="center"/>
    </xf>
  </cellXfs>
  <cellStyles count="1">
    <cellStyle name="Normal" xfId="0" builtinId="0"/>
  </cellStyles>
  <dxfs count="22"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C00000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fill>
        <patternFill patternType="none">
          <fgColor indexed="64"/>
          <bgColor indexed="65"/>
        </patternFill>
      </fill>
    </dxf>
    <dxf>
      <border outline="0">
        <left style="thin">
          <color theme="5"/>
        </left>
      </border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 outline="0">
        <left/>
        <right/>
        <top style="thin">
          <color theme="5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border outline="0">
        <left style="thin">
          <color theme="5"/>
        </left>
      </border>
    </dxf>
    <dxf>
      <fill>
        <patternFill patternType="solid">
          <fgColor indexed="64"/>
          <bgColor theme="5" tint="-0.499984740745262"/>
        </patternFill>
      </fill>
    </dxf>
    <dxf>
      <fill>
        <patternFill patternType="solid">
          <fgColor indexed="64"/>
          <bgColor theme="5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4.xml"/><Relationship Id="rId10" Type="http://schemas.microsoft.com/office/2017/06/relationships/rdRichValueTypes" Target="/xl/richData/rdRichValueTypes.xml"/><Relationship Id="rId4" Type="http://schemas.openxmlformats.org/officeDocument/2006/relationships/chartsheet" Target="chartsheets/sheet1.xml"/><Relationship Id="rId9" Type="http://schemas.openxmlformats.org/officeDocument/2006/relationships/sheetMetadata" Target="metadata.xml"/><Relationship Id="rId11" Type="http://schemas.microsoft.com/office/2017/06/relationships/rdRichValueStructure" Target="/xl/richData/rdrichvaluestructure.xml"/><Relationship Id="rId12" Type="http://schemas.microsoft.com/office/2017/06/relationships/rdRichValue" Target="/xl/richData/rdrichvalue.xml"/><Relationship Id="rId13" Type="http://schemas.microsoft.com/office/2017/06/relationships/rdArray" Target="/xl/richData/rdarray.xml"/></Relationships>
</file>

<file path=xl/charts/_rels/chart1.xml.rels><?xml version="1.0" encoding="UTF-8" standalone="yes"?>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Scores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Exams!$B$4:$B$33</c:f>
              <c:strCache>
                <c:ptCount val="30"/>
                <c:pt idx="0">
                  <c:v>Alexander, Sean P.</c:v>
                </c:pt>
                <c:pt idx="1">
                  <c:v>Argrow, NeKeta</c:v>
                </c:pt>
                <c:pt idx="2">
                  <c:v>Barnett, Dave</c:v>
                </c:pt>
                <c:pt idx="3">
                  <c:v>Bashary, Shay</c:v>
                </c:pt>
                <c:pt idx="4">
                  <c:v>Brown, Jo</c:v>
                </c:pt>
                <c:pt idx="5">
                  <c:v>Caro, Fermando</c:v>
                </c:pt>
                <c:pt idx="6">
                  <c:v>Casparij, Gitte</c:v>
                </c:pt>
                <c:pt idx="7">
                  <c:v>Cheng, Yao-Qiang</c:v>
                </c:pt>
                <c:pt idx="8">
                  <c:v>Dansegiio, Mike</c:v>
                </c:pt>
                <c:pt idx="9">
                  <c:v>Duffy, Torri Lee</c:v>
                </c:pt>
                <c:pt idx="10">
                  <c:v>Ersan, Ebru</c:v>
                </c:pt>
                <c:pt idx="11">
                  <c:v>Ferreira, Sofia</c:v>
                </c:pt>
                <c:pt idx="12">
                  <c:v>Garcia, Cesar</c:v>
                </c:pt>
                <c:pt idx="13">
                  <c:v>Gregersen, Kirk</c:v>
                </c:pt>
                <c:pt idx="14">
                  <c:v>Gunnarsson, Eva</c:v>
                </c:pt>
                <c:pt idx="15">
                  <c:v>Haddock, Rich</c:v>
                </c:pt>
                <c:pt idx="16">
                  <c:v>Herp, Jesper</c:v>
                </c:pt>
                <c:pt idx="17">
                  <c:v>Hurtado, Begona</c:v>
                </c:pt>
                <c:pt idx="18">
                  <c:v>Jacob, Sanjay</c:v>
                </c:pt>
                <c:pt idx="19">
                  <c:v>Jones, Brannon</c:v>
                </c:pt>
                <c:pt idx="20">
                  <c:v>Kurniawan, Peter</c:v>
                </c:pt>
                <c:pt idx="21">
                  <c:v>Leal, Karina</c:v>
                </c:pt>
                <c:pt idx="22">
                  <c:v>Li, Yan</c:v>
                </c:pt>
                <c:pt idx="23">
                  <c:v>Li, Yuhong</c:v>
                </c:pt>
                <c:pt idx="24">
                  <c:v>Mitchell, Linda</c:v>
                </c:pt>
                <c:pt idx="25">
                  <c:v>Oliveira, Sasana</c:v>
                </c:pt>
                <c:pt idx="26">
                  <c:v>Owen, Laura</c:v>
                </c:pt>
                <c:pt idx="27">
                  <c:v>Purcell, Sean</c:v>
                </c:pt>
                <c:pt idx="28">
                  <c:v>Riis, Bjarne</c:v>
                </c:pt>
                <c:pt idx="29">
                  <c:v>Smith, Samantha</c:v>
                </c:pt>
              </c:strCache>
            </c:strRef>
          </c:cat>
          <c:val>
            <c:numRef>
              <c:f>Exams!$G$4:$G$33</c:f>
              <c:numCache>
                <c:formatCode>General</c:formatCode>
                <c:ptCount val="30"/>
                <c:pt idx="0">
                  <c:v>867</c:v>
                </c:pt>
                <c:pt idx="1">
                  <c:v>900</c:v>
                </c:pt>
                <c:pt idx="2">
                  <c:v>856</c:v>
                </c:pt>
                <c:pt idx="3">
                  <c:v>916</c:v>
                </c:pt>
                <c:pt idx="4">
                  <c:v>821</c:v>
                </c:pt>
                <c:pt idx="5">
                  <c:v>901</c:v>
                </c:pt>
                <c:pt idx="6">
                  <c:v>787</c:v>
                </c:pt>
                <c:pt idx="7">
                  <c:v>789</c:v>
                </c:pt>
                <c:pt idx="8">
                  <c:v>854</c:v>
                </c:pt>
                <c:pt idx="9">
                  <c:v>896</c:v>
                </c:pt>
                <c:pt idx="10">
                  <c:v>936</c:v>
                </c:pt>
                <c:pt idx="11">
                  <c:v>901</c:v>
                </c:pt>
                <c:pt idx="12">
                  <c:v>811</c:v>
                </c:pt>
                <c:pt idx="13">
                  <c:v>903</c:v>
                </c:pt>
                <c:pt idx="14">
                  <c:v>777</c:v>
                </c:pt>
                <c:pt idx="15">
                  <c:v>878</c:v>
                </c:pt>
                <c:pt idx="16">
                  <c:v>864</c:v>
                </c:pt>
                <c:pt idx="17">
                  <c:v>779</c:v>
                </c:pt>
                <c:pt idx="18">
                  <c:v>925</c:v>
                </c:pt>
                <c:pt idx="19">
                  <c:v>823</c:v>
                </c:pt>
                <c:pt idx="20">
                  <c:v>893</c:v>
                </c:pt>
                <c:pt idx="21">
                  <c:v>918</c:v>
                </c:pt>
                <c:pt idx="22">
                  <c:v>739</c:v>
                </c:pt>
                <c:pt idx="23">
                  <c:v>838</c:v>
                </c:pt>
                <c:pt idx="24">
                  <c:v>814</c:v>
                </c:pt>
                <c:pt idx="25">
                  <c:v>793</c:v>
                </c:pt>
                <c:pt idx="26">
                  <c:v>787</c:v>
                </c:pt>
                <c:pt idx="27">
                  <c:v>843</c:v>
                </c:pt>
                <c:pt idx="28">
                  <c:v>875</c:v>
                </c:pt>
                <c:pt idx="29">
                  <c:v>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E0-48ED-8F18-25C8AA1FE4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7215760"/>
        <c:axId val="227216152"/>
      </c:barChart>
      <c:catAx>
        <c:axId val="227215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227216152"/>
        <c:crosses val="autoZero"/>
        <c:auto val="1"/>
        <c:lblAlgn val="ctr"/>
        <c:lblOffset val="100"/>
        <c:noMultiLvlLbl val="0"/>
      </c:catAx>
      <c:valAx>
        <c:axId val="227216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227215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>
    <tabColor rgb="FFC00000"/>
  </sheetPr>
  <sheetViews>
    <sheetView zoomScale="7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32785" cy="623103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4F84E3-4F2E-4CCC-93E1-0EC73621915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/>
</rvTypesInfo>
</file>

<file path=xl/richData/rdarray.xml><?xml version="1.0" encoding="utf-8"?>
<arrayData xmlns="http://schemas.microsoft.com/office/spreadsheetml/2017/richdata2" count="0"/>
</file>

<file path=xl/richData/rdrichvalue.xml><?xml version="1.0" encoding="utf-8"?>
<rvData xmlns="http://schemas.microsoft.com/office/spreadsheetml/2017/richdata" count="0"/>
</file>

<file path=xl/richData/rdrichvaluestructure.xml><?xml version="1.0" encoding="utf-8"?>
<rvStructures xmlns="http://schemas.microsoft.com/office/spreadsheetml/2017/richdata" count="0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M13" totalsRowShown="0" headerRowDxfId="20">
  <autoFilter ref="A3:M13" xr:uid="{00000000-0009-0000-0100-000001000000}"/>
  <tableColumns count="13">
    <tableColumn id="1" xr3:uid="{00000000-0010-0000-0000-000001000000}" name="ID"/>
    <tableColumn id="2" xr3:uid="{00000000-0010-0000-0000-000002000000}" name="Name "/>
    <tableColumn id="3" xr3:uid="{00000000-0010-0000-0000-000003000000}" name="Task 1"/>
    <tableColumn id="4" xr3:uid="{00000000-0010-0000-0000-000004000000}" name="Task 2"/>
    <tableColumn id="5" xr3:uid="{00000000-0010-0000-0000-000005000000}" name="Task 3"/>
    <tableColumn id="6" xr3:uid="{00000000-0010-0000-0000-000006000000}" name="Task 4"/>
    <tableColumn id="7" xr3:uid="{00000000-0010-0000-0000-000007000000}" name="Task 5"/>
    <tableColumn id="8" xr3:uid="{00000000-0010-0000-0000-000008000000}" name="Task 6"/>
    <tableColumn id="9" xr3:uid="{00000000-0010-0000-0000-000009000000}" name="Task 7 "/>
    <tableColumn id="10" xr3:uid="{00000000-0010-0000-0000-00000A000000}" name="Task 8"/>
    <tableColumn id="11" xr3:uid="{00000000-0010-0000-0000-00000B000000}" name="Task 9 "/>
    <tableColumn id="12" xr3:uid="{00000000-0010-0000-0000-00000C000000}" name="Task 10"/>
    <tableColumn id="13" xr3:uid="{00000000-0010-0000-0000-00000D000000}" name="Task Total">
      <calculatedColumnFormula>SUM(C4:L4)</calculatedColumnFormula>
    </tableColumn>
  </tableColumns>
  <tableStyleInfo name="TableStyleMedium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3:G33" totalsRowShown="0" headerRowDxfId="20" tableBorderDxfId="11">
  <autoFilter ref="A3:G33" xr:uid="{00000000-0009-0000-0100-000002000000}"/>
  <tableColumns count="7">
    <tableColumn id="1" xr3:uid="{00000000-0010-0000-0100-000001000000}" name="ID" dataDxfId="17"/>
    <tableColumn id="2" xr3:uid="{00000000-0010-0000-0100-000002000000}" name="Name " dataDxfId="17"/>
    <tableColumn id="3" xr3:uid="{00000000-0010-0000-0100-000003000000}" name="Project 1" dataDxfId="1"/>
    <tableColumn id="4" xr3:uid="{00000000-0010-0000-0100-000004000000}" name="Project 2" dataDxfId="1"/>
    <tableColumn id="5" xr3:uid="{00000000-0010-0000-0100-000005000000}" name="Project 3" dataDxfId="1"/>
    <tableColumn id="6" xr3:uid="{00000000-0010-0000-0100-000006000000}" name="Project 4" dataDxfId="1"/>
    <tableColumn id="7" xr3:uid="{00000000-0010-0000-0100-000007000000}" name="Project Total" dataDxfId="0">
      <calculatedColumnFormula>SUM(Table2[[#This Row],[Project 1]:[Project 4]])</calculatedColumnFormula>
    </tableColumn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3:H33" totalsRowShown="0" tableBorderDxfId="11">
  <autoFilter ref="A3:H33" xr:uid="{00000000-0009-0000-0100-000003000000}"/>
  <tableColumns count="8">
    <tableColumn id="1" xr3:uid="{00000000-0010-0000-0200-000001000000}" name="ID" dataDxfId="10"/>
    <tableColumn id="2" xr3:uid="{00000000-0010-0000-0200-000002000000}" name="Name "/>
    <tableColumn id="3" xr3:uid="{00000000-0010-0000-0200-000003000000}" name="Exam 1" dataDxfId="4"/>
    <tableColumn id="4" xr3:uid="{00000000-0010-0000-0200-000004000000}" name="Exam 2" dataDxfId="4"/>
    <tableColumn id="5" xr3:uid="{00000000-0010-0000-0200-000005000000}" name="Exam 3" dataDxfId="4"/>
    <tableColumn id="6" xr3:uid="{00000000-0010-0000-0200-000006000000}" name="Exam Total " dataDxfId="6">
      <calculatedColumnFormula>SUM(Table3[[#This Row],[Exam 1]:[Exam 3]])</calculatedColumnFormula>
    </tableColumn>
    <tableColumn id="7" xr3:uid="{00000000-0010-0000-0200-000007000000}" name="Course Total" dataDxfId="4"/>
    <tableColumn id="8" xr3:uid="{00000000-0010-0000-0200-000008000000}" name="Grade" dataDxfId="4">
      <calculatedColumnFormula array="1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calculatedColumnFormula>
    </tableColumn>
  </tableColumns>
  <tableStyleInfo name="TableStyleLight1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Table5" displayName="Table5" ref="E4:F16" totalsRowShown="0" headerRowDxfId="3" dataDxfId="1">
  <autoFilter ref="E4:F16" xr:uid="{00000000-0009-0000-0100-000005000000}"/>
  <tableColumns count="2">
    <tableColumn id="1" xr3:uid="{00000000-0010-0000-0300-000001000000}" name="Total Points" dataDxfId="1"/>
    <tableColumn id="2" xr3:uid="{00000000-0010-0000-0300-000002000000}" name="Grade" dataDxfId="0">
      <calculatedColumnFormula array="1">_xlfn.IFS(Table5[[#This Row],[Total Points]]&gt;950,"A+",Table5[[#This Row],[Total Points]]&gt;900,"A",Table5[[#This Row],[Total Points]]=900,"A-",Table5[[#This Row],[Total Points]]&gt;850,"B+",Table5[[#This Row],[Total Points]]&gt;800,"B",Table5[[#This Row],[Total Points]]=800,"B-",Table5[[#This Row],[Total Points]]&gt;750,"C+",Table5[[#This Row],[Total Points]]&gt;700,"C",Table5[[#This Row],[Total Points]]&gt;650,"D+",Table5[[#This Row],[Total Points]]&gt;600,"D",Table5[[#This Row],[Total Points]]=600,"D-",Table5[[#This Row],[Total Points]]=0,"F")</calculatedColumnFormula>
    </tableColumn>
  </tableColumns>
  <tableStyleInfo name="TableStyleMedium15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M13"/>
  <sheetViews>
    <sheetView tabSelected="1" workbookViewId="0">
      <selection activeCell="D10" sqref="D10"/>
    </sheetView>
  </sheetViews>
  <sheetFormatPr defaultRowHeight="15" x14ac:dyDescent="0.25"/>
  <cols>
    <col min="1" max="1" width="8.85546875" customWidth="1"/>
    <col min="2" max="2" bestFit="1" width="16.28515625" customWidth="1"/>
    <col min="3" max="7" width="8.28515625" customWidth="1"/>
    <col min="12" max="12" width="9.28515625" customWidth="1"/>
    <col min="13" max="13" width="11.42578125" customWidth="1"/>
  </cols>
  <sheetData>
    <row r="1" ht="21" s="28" customFormat="1">
      <c r="A1" s="28" t="s">
        <v>0</v>
      </c>
    </row>
    <row r="2" s="29" customFormat="1">
      <c r="A2" s="29" t="s">
        <v>1</v>
      </c>
    </row>
    <row r="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</row>
    <row r="4">
      <c r="A4" s="0">
        <v>1169815</v>
      </c>
      <c r="B4" s="0" t="s">
        <v>15</v>
      </c>
      <c r="C4" s="0">
        <v>15</v>
      </c>
      <c r="D4" s="0">
        <v>20</v>
      </c>
      <c r="E4" s="0">
        <v>25</v>
      </c>
      <c r="F4" s="0">
        <v>25</v>
      </c>
      <c r="G4" s="0">
        <v>21</v>
      </c>
      <c r="H4" s="0">
        <v>15</v>
      </c>
      <c r="I4" s="0">
        <v>0</v>
      </c>
      <c r="J4" s="0">
        <v>25</v>
      </c>
      <c r="K4" s="0">
        <v>25</v>
      </c>
      <c r="L4" s="0">
        <v>21</v>
      </c>
      <c r="M4" s="0">
        <f>SUM(C4:L4)</f>
        <v>192</v>
      </c>
    </row>
    <row r="5">
      <c r="A5" s="0">
        <v>2002584</v>
      </c>
      <c r="B5" s="0" t="s">
        <v>16</v>
      </c>
      <c r="C5" s="0">
        <v>16</v>
      </c>
      <c r="D5" s="0">
        <v>21</v>
      </c>
      <c r="E5" s="0">
        <v>24</v>
      </c>
      <c r="F5" s="0">
        <v>22</v>
      </c>
      <c r="G5" s="0">
        <v>25</v>
      </c>
      <c r="H5" s="0">
        <v>23</v>
      </c>
      <c r="I5" s="0">
        <v>25</v>
      </c>
      <c r="J5" s="0">
        <v>23</v>
      </c>
      <c r="K5" s="0">
        <v>20</v>
      </c>
      <c r="L5" s="0">
        <v>20</v>
      </c>
      <c r="M5" s="0">
        <f ref="M5:M13" t="shared" si="0">SUM(C5:L5)</f>
        <v>219</v>
      </c>
    </row>
    <row r="6">
      <c r="A6" s="0">
        <v>3009854</v>
      </c>
      <c r="B6" s="0" t="s">
        <v>17</v>
      </c>
      <c r="C6" s="0">
        <v>17</v>
      </c>
      <c r="D6" s="0">
        <v>22</v>
      </c>
      <c r="E6" s="0">
        <v>25</v>
      </c>
      <c r="F6" s="0">
        <v>24</v>
      </c>
      <c r="G6" s="0">
        <v>25</v>
      </c>
      <c r="H6" s="0">
        <v>23</v>
      </c>
      <c r="I6" s="0">
        <v>24</v>
      </c>
      <c r="J6" s="0">
        <v>23</v>
      </c>
      <c r="K6" s="0">
        <v>21</v>
      </c>
      <c r="L6" s="0">
        <v>21</v>
      </c>
      <c r="M6" s="0">
        <f t="shared" si="0"/>
        <v>225</v>
      </c>
    </row>
    <row r="7">
      <c r="A7" s="0">
        <v>1206458</v>
      </c>
      <c r="B7" s="0" t="s">
        <v>18</v>
      </c>
      <c r="C7" s="0">
        <v>18</v>
      </c>
      <c r="D7" s="0">
        <v>23</v>
      </c>
      <c r="E7" s="0">
        <v>24</v>
      </c>
      <c r="F7" s="0">
        <v>25</v>
      </c>
      <c r="G7" s="0">
        <v>16</v>
      </c>
      <c r="H7" s="0">
        <v>21</v>
      </c>
      <c r="I7" s="0">
        <v>24</v>
      </c>
      <c r="J7" s="0">
        <v>22</v>
      </c>
      <c r="K7" s="0">
        <v>25</v>
      </c>
      <c r="L7" s="0">
        <v>22</v>
      </c>
      <c r="M7" s="0">
        <f t="shared" si="0"/>
        <v>220</v>
      </c>
    </row>
    <row r="8">
      <c r="A8" s="0">
        <v>1182548</v>
      </c>
      <c r="B8" s="0" t="s">
        <v>19</v>
      </c>
      <c r="C8" s="0">
        <v>19</v>
      </c>
      <c r="D8" s="0">
        <v>24</v>
      </c>
      <c r="E8" s="0">
        <v>25</v>
      </c>
      <c r="F8" s="0">
        <v>20</v>
      </c>
      <c r="G8" s="0">
        <v>17</v>
      </c>
      <c r="H8" s="0">
        <v>22</v>
      </c>
      <c r="I8" s="0">
        <v>25</v>
      </c>
      <c r="J8" s="0">
        <v>24</v>
      </c>
      <c r="K8" s="0">
        <v>23</v>
      </c>
      <c r="L8" s="0">
        <v>23</v>
      </c>
      <c r="M8" s="0">
        <f t="shared" si="0"/>
        <v>222</v>
      </c>
    </row>
    <row r="9">
      <c r="A9" s="0">
        <v>1195789</v>
      </c>
      <c r="B9" s="0" t="s">
        <v>20</v>
      </c>
      <c r="C9" s="0">
        <v>20</v>
      </c>
      <c r="D9" s="0">
        <v>25</v>
      </c>
      <c r="E9" s="0">
        <v>22</v>
      </c>
      <c r="F9" s="0">
        <v>21</v>
      </c>
      <c r="G9" s="0">
        <v>18</v>
      </c>
      <c r="H9" s="0">
        <v>23</v>
      </c>
      <c r="I9" s="0">
        <v>24</v>
      </c>
      <c r="J9" s="0">
        <v>25</v>
      </c>
      <c r="K9" s="0">
        <v>21</v>
      </c>
      <c r="L9" s="0">
        <v>21</v>
      </c>
      <c r="M9" s="0">
        <f t="shared" si="0"/>
        <v>220</v>
      </c>
    </row>
    <row r="10">
      <c r="A10" s="0">
        <v>3018848</v>
      </c>
      <c r="B10" s="0" t="s">
        <v>21</v>
      </c>
      <c r="C10" s="0">
        <v>21</v>
      </c>
      <c r="D10" s="0">
        <v>19</v>
      </c>
      <c r="E10" s="0">
        <v>23</v>
      </c>
      <c r="F10" s="0">
        <v>21</v>
      </c>
      <c r="G10" s="0">
        <v>19</v>
      </c>
      <c r="H10" s="0">
        <v>24</v>
      </c>
      <c r="I10" s="0">
        <v>25</v>
      </c>
      <c r="J10" s="0">
        <v>20</v>
      </c>
      <c r="K10" s="0">
        <v>18</v>
      </c>
      <c r="L10" s="0">
        <v>23</v>
      </c>
      <c r="M10" s="0">
        <f t="shared" si="0"/>
        <v>213</v>
      </c>
    </row>
    <row r="11">
      <c r="A11" s="0">
        <v>2007894</v>
      </c>
      <c r="B11" s="0" t="s">
        <v>22</v>
      </c>
      <c r="C11" s="0">
        <v>22</v>
      </c>
      <c r="D11" s="0">
        <v>20</v>
      </c>
      <c r="E11" s="0">
        <v>24</v>
      </c>
      <c r="F11" s="0">
        <v>22</v>
      </c>
      <c r="G11" s="0">
        <v>20</v>
      </c>
      <c r="H11" s="0">
        <v>25</v>
      </c>
      <c r="I11" s="0">
        <v>22</v>
      </c>
      <c r="J11" s="0">
        <v>21</v>
      </c>
      <c r="K11" s="0">
        <v>23</v>
      </c>
      <c r="L11" s="0">
        <v>14</v>
      </c>
      <c r="M11" s="0">
        <f t="shared" si="0"/>
        <v>213</v>
      </c>
    </row>
    <row r="12">
      <c r="A12" s="0">
        <v>2017868</v>
      </c>
      <c r="B12" s="0" t="s">
        <v>23</v>
      </c>
      <c r="C12" s="0">
        <v>23</v>
      </c>
      <c r="D12" s="0">
        <v>21</v>
      </c>
      <c r="E12" s="0">
        <v>22</v>
      </c>
      <c r="F12" s="0">
        <v>20</v>
      </c>
      <c r="G12" s="0">
        <v>21</v>
      </c>
      <c r="H12" s="0">
        <v>19</v>
      </c>
      <c r="I12" s="0">
        <v>23</v>
      </c>
      <c r="J12" s="0">
        <v>21</v>
      </c>
      <c r="K12" s="0">
        <v>23</v>
      </c>
      <c r="L12" s="0">
        <v>15</v>
      </c>
      <c r="M12" s="0">
        <f t="shared" si="0"/>
        <v>208</v>
      </c>
    </row>
    <row r="13">
      <c r="A13" s="0">
        <v>2026654</v>
      </c>
      <c r="B13" s="0" t="s">
        <v>24</v>
      </c>
      <c r="C13" s="0">
        <v>24</v>
      </c>
      <c r="D13" s="0">
        <v>22</v>
      </c>
      <c r="E13" s="0">
        <v>23</v>
      </c>
      <c r="F13" s="0">
        <v>21</v>
      </c>
      <c r="G13" s="0">
        <v>22</v>
      </c>
      <c r="H13" s="0">
        <v>20</v>
      </c>
      <c r="I13" s="0">
        <v>24</v>
      </c>
      <c r="J13" s="0">
        <v>22</v>
      </c>
      <c r="K13" s="0">
        <v>23</v>
      </c>
      <c r="L13" s="0">
        <v>25</v>
      </c>
      <c r="M13" s="0">
        <f t="shared" si="0"/>
        <v>226</v>
      </c>
    </row>
  </sheetData>
  <mergeCells>
    <mergeCell ref="A1:XFD1"/>
    <mergeCell ref="A2:XFD2"/>
  </mergeCells>
  <pageMargins left="0.7" right="0.7" top="0.75" bottom="0.75" header="0.3" footer="0.3"/>
  <pageSetup orientation="portrait"/>
  <headerFooter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G38"/>
  <sheetViews>
    <sheetView workbookViewId="0">
      <selection activeCell="F36" sqref="F36"/>
    </sheetView>
  </sheetViews>
  <sheetFormatPr defaultRowHeight="15" x14ac:dyDescent="0.25"/>
  <cols>
    <col min="2" max="2" bestFit="1" width="16.28515625" customWidth="1"/>
    <col min="3" max="6" width="10.42578125" customWidth="1"/>
    <col min="7" max="7" bestFit="1" width="13.85546875" customWidth="1"/>
  </cols>
  <sheetData>
    <row r="1" s="30" customFormat="1">
      <c r="A1" s="30" t="s">
        <v>0</v>
      </c>
    </row>
    <row r="2" s="30" customFormat="1">
      <c r="A2" s="30" t="s">
        <v>1</v>
      </c>
    </row>
    <row r="3">
      <c r="A3" s="4" t="s">
        <v>2</v>
      </c>
      <c r="B3" s="4" t="s">
        <v>3</v>
      </c>
      <c r="C3" s="3" t="s">
        <v>25</v>
      </c>
      <c r="D3" s="3" t="s">
        <v>26</v>
      </c>
      <c r="E3" s="3" t="s">
        <v>27</v>
      </c>
      <c r="F3" s="3" t="s">
        <v>28</v>
      </c>
      <c r="G3" s="3" t="s">
        <v>29</v>
      </c>
    </row>
    <row r="4">
      <c r="A4" s="1">
        <v>1169815</v>
      </c>
      <c r="B4" s="1" t="s">
        <v>15</v>
      </c>
      <c r="C4" s="9">
        <v>70</v>
      </c>
      <c r="D4" s="9">
        <v>120</v>
      </c>
      <c r="E4" s="9">
        <v>75</v>
      </c>
      <c r="F4" s="9">
        <v>135</v>
      </c>
      <c r="G4" s="9">
        <f>SUM(Table2[[#This Row],[Project 1]:[Project 4]])</f>
        <v>400</v>
      </c>
    </row>
    <row r="5">
      <c r="A5" s="1">
        <v>2002584</v>
      </c>
      <c r="B5" s="1" t="s">
        <v>16</v>
      </c>
      <c r="C5" s="9">
        <v>71</v>
      </c>
      <c r="D5" s="9">
        <v>125</v>
      </c>
      <c r="E5" s="9">
        <v>75</v>
      </c>
      <c r="F5" s="9">
        <v>150</v>
      </c>
      <c r="G5" s="9">
        <f>SUM(Table2[[#This Row],[Project 1]:[Project 4]])</f>
        <v>421</v>
      </c>
    </row>
    <row r="6">
      <c r="A6" s="1">
        <v>3009854</v>
      </c>
      <c r="B6" s="1" t="s">
        <v>17</v>
      </c>
      <c r="C6" s="9">
        <v>68</v>
      </c>
      <c r="D6" s="9">
        <v>125</v>
      </c>
      <c r="E6" s="9">
        <v>100</v>
      </c>
      <c r="F6" s="9">
        <v>150</v>
      </c>
      <c r="G6" s="9">
        <f>SUM(Table2[[#This Row],[Project 1]:[Project 4]])</f>
        <v>443</v>
      </c>
    </row>
    <row r="7">
      <c r="A7" s="1">
        <v>1206458</v>
      </c>
      <c r="B7" s="1" t="s">
        <v>18</v>
      </c>
      <c r="C7" s="9">
        <v>65</v>
      </c>
      <c r="D7" s="9">
        <v>125</v>
      </c>
      <c r="E7" s="9">
        <v>98</v>
      </c>
      <c r="F7" s="9">
        <v>145</v>
      </c>
      <c r="G7" s="9">
        <f>SUM(Table2[[#This Row],[Project 1]:[Project 4]])</f>
        <v>433</v>
      </c>
    </row>
    <row r="8">
      <c r="A8" s="1">
        <v>1182548</v>
      </c>
      <c r="B8" s="1" t="s">
        <v>19</v>
      </c>
      <c r="C8" s="9">
        <v>70</v>
      </c>
      <c r="D8" s="9">
        <v>120</v>
      </c>
      <c r="E8" s="9">
        <v>97</v>
      </c>
      <c r="F8" s="9">
        <v>142</v>
      </c>
      <c r="G8" s="9">
        <f>SUM(Table2[[#This Row],[Project 1]:[Project 4]])</f>
        <v>429</v>
      </c>
    </row>
    <row r="9">
      <c r="A9" s="1">
        <v>1195789</v>
      </c>
      <c r="B9" s="1" t="s">
        <v>20</v>
      </c>
      <c r="C9" s="9">
        <v>75</v>
      </c>
      <c r="D9" s="9">
        <v>115</v>
      </c>
      <c r="E9" s="9">
        <v>95</v>
      </c>
      <c r="F9" s="9">
        <v>142</v>
      </c>
      <c r="G9" s="9">
        <f>SUM(Table2[[#This Row],[Project 1]:[Project 4]])</f>
        <v>427</v>
      </c>
    </row>
    <row r="10">
      <c r="A10" s="1">
        <v>3018848</v>
      </c>
      <c r="B10" s="1" t="s">
        <v>21</v>
      </c>
      <c r="C10" s="9">
        <v>75</v>
      </c>
      <c r="D10" s="9">
        <v>115</v>
      </c>
      <c r="E10" s="9">
        <v>90</v>
      </c>
      <c r="F10" s="9">
        <v>141</v>
      </c>
      <c r="G10" s="9">
        <f>SUM(Table2[[#This Row],[Project 1]:[Project 4]])</f>
        <v>421</v>
      </c>
    </row>
    <row r="11">
      <c r="A11" s="1">
        <v>2007894</v>
      </c>
      <c r="B11" s="1" t="s">
        <v>22</v>
      </c>
      <c r="C11" s="9">
        <v>65</v>
      </c>
      <c r="D11" s="9">
        <v>125</v>
      </c>
      <c r="E11" s="9">
        <v>90</v>
      </c>
      <c r="F11" s="9">
        <v>143</v>
      </c>
      <c r="G11" s="9">
        <f>SUM(Table2[[#This Row],[Project 1]:[Project 4]])</f>
        <v>423</v>
      </c>
    </row>
    <row r="12">
      <c r="A12" s="1">
        <v>2017868</v>
      </c>
      <c r="B12" s="1" t="s">
        <v>23</v>
      </c>
      <c r="C12" s="9">
        <v>60</v>
      </c>
      <c r="D12" s="9">
        <v>125</v>
      </c>
      <c r="E12" s="9">
        <v>75</v>
      </c>
      <c r="F12" s="9">
        <v>150</v>
      </c>
      <c r="G12" s="9">
        <f>SUM(Table2[[#This Row],[Project 1]:[Project 4]])</f>
        <v>410</v>
      </c>
    </row>
    <row r="13">
      <c r="A13" s="2">
        <v>2026654</v>
      </c>
      <c r="B13" s="2" t="s">
        <v>24</v>
      </c>
      <c r="C13" s="9">
        <v>55</v>
      </c>
      <c r="D13" s="9">
        <v>115</v>
      </c>
      <c r="E13" s="9">
        <v>75</v>
      </c>
      <c r="F13" s="9">
        <v>150</v>
      </c>
      <c r="G13" s="9">
        <f>SUM(Table2[[#This Row],[Project 1]:[Project 4]])</f>
        <v>395</v>
      </c>
    </row>
    <row r="14">
      <c r="A14" s="1">
        <v>1169815</v>
      </c>
      <c r="B14" s="1" t="s">
        <v>15</v>
      </c>
      <c r="C14" s="9">
        <v>70</v>
      </c>
      <c r="D14" s="9">
        <v>120</v>
      </c>
      <c r="E14" s="9">
        <v>75</v>
      </c>
      <c r="F14" s="9">
        <v>135</v>
      </c>
      <c r="G14" s="9">
        <f>SUM(Table2[[#This Row],[Project 1]:[Project 4]])</f>
        <v>400</v>
      </c>
    </row>
    <row r="15">
      <c r="A15" s="1">
        <v>2002584</v>
      </c>
      <c r="B15" s="1" t="s">
        <v>16</v>
      </c>
      <c r="C15" s="9">
        <v>71</v>
      </c>
      <c r="D15" s="9">
        <v>125</v>
      </c>
      <c r="E15" s="9">
        <v>75</v>
      </c>
      <c r="F15" s="9">
        <v>150</v>
      </c>
      <c r="G15" s="9">
        <f>SUM(Table2[[#This Row],[Project 1]:[Project 4]])</f>
        <v>421</v>
      </c>
    </row>
    <row r="16">
      <c r="A16" s="1">
        <v>3009854</v>
      </c>
      <c r="B16" s="1" t="s">
        <v>17</v>
      </c>
      <c r="C16" s="9">
        <v>68</v>
      </c>
      <c r="D16" s="9">
        <v>125</v>
      </c>
      <c r="E16" s="9">
        <v>100</v>
      </c>
      <c r="F16" s="9">
        <v>150</v>
      </c>
      <c r="G16" s="9">
        <f>SUM(Table2[[#This Row],[Project 1]:[Project 4]])</f>
        <v>443</v>
      </c>
    </row>
    <row r="17">
      <c r="A17" s="1">
        <v>1206458</v>
      </c>
      <c r="B17" s="1" t="s">
        <v>18</v>
      </c>
      <c r="C17" s="9">
        <v>65</v>
      </c>
      <c r="D17" s="9">
        <v>125</v>
      </c>
      <c r="E17" s="9">
        <v>98</v>
      </c>
      <c r="F17" s="9">
        <v>145</v>
      </c>
      <c r="G17" s="9">
        <f>SUM(Table2[[#This Row],[Project 1]:[Project 4]])</f>
        <v>433</v>
      </c>
    </row>
    <row r="18">
      <c r="A18" s="1">
        <v>1182548</v>
      </c>
      <c r="B18" s="1" t="s">
        <v>19</v>
      </c>
      <c r="C18" s="9">
        <v>70</v>
      </c>
      <c r="D18" s="9">
        <v>120</v>
      </c>
      <c r="E18" s="9">
        <v>97</v>
      </c>
      <c r="F18" s="9">
        <v>142</v>
      </c>
      <c r="G18" s="9">
        <f>SUM(Table2[[#This Row],[Project 1]:[Project 4]])</f>
        <v>429</v>
      </c>
    </row>
    <row r="19">
      <c r="A19" s="1">
        <v>1195789</v>
      </c>
      <c r="B19" s="1" t="s">
        <v>20</v>
      </c>
      <c r="C19" s="9">
        <v>75</v>
      </c>
      <c r="D19" s="9">
        <v>115</v>
      </c>
      <c r="E19" s="9">
        <v>95</v>
      </c>
      <c r="F19" s="9">
        <v>142</v>
      </c>
      <c r="G19" s="9">
        <f>SUM(Table2[[#This Row],[Project 1]:[Project 4]])</f>
        <v>427</v>
      </c>
    </row>
    <row r="20">
      <c r="A20" s="1">
        <v>3018848</v>
      </c>
      <c r="B20" s="1" t="s">
        <v>21</v>
      </c>
      <c r="C20" s="9">
        <v>75</v>
      </c>
      <c r="D20" s="9">
        <v>115</v>
      </c>
      <c r="E20" s="9">
        <v>90</v>
      </c>
      <c r="F20" s="9">
        <v>141</v>
      </c>
      <c r="G20" s="9">
        <f>SUM(Table2[[#This Row],[Project 1]:[Project 4]])</f>
        <v>421</v>
      </c>
    </row>
    <row r="21">
      <c r="A21" s="1">
        <v>2007894</v>
      </c>
      <c r="B21" s="1" t="s">
        <v>22</v>
      </c>
      <c r="C21" s="9">
        <v>65</v>
      </c>
      <c r="D21" s="9">
        <v>125</v>
      </c>
      <c r="E21" s="9">
        <v>90</v>
      </c>
      <c r="F21" s="9">
        <v>143</v>
      </c>
      <c r="G21" s="9">
        <f>SUM(Table2[[#This Row],[Project 1]:[Project 4]])</f>
        <v>423</v>
      </c>
    </row>
    <row r="22">
      <c r="A22" s="1">
        <v>2017868</v>
      </c>
      <c r="B22" s="1" t="s">
        <v>23</v>
      </c>
      <c r="C22" s="9">
        <v>60</v>
      </c>
      <c r="D22" s="9">
        <v>125</v>
      </c>
      <c r="E22" s="9">
        <v>75</v>
      </c>
      <c r="F22" s="9">
        <v>150</v>
      </c>
      <c r="G22" s="9">
        <f>SUM(Table2[[#This Row],[Project 1]:[Project 4]])</f>
        <v>410</v>
      </c>
    </row>
    <row r="23">
      <c r="A23" s="1">
        <v>2026654</v>
      </c>
      <c r="B23" s="1" t="s">
        <v>24</v>
      </c>
      <c r="C23" s="9">
        <v>55</v>
      </c>
      <c r="D23" s="9">
        <v>115</v>
      </c>
      <c r="E23" s="9">
        <v>75</v>
      </c>
      <c r="F23" s="9">
        <v>150</v>
      </c>
      <c r="G23" s="9">
        <f>SUM(Table2[[#This Row],[Project 1]:[Project 4]])</f>
        <v>395</v>
      </c>
    </row>
    <row r="24">
      <c r="A24" s="1">
        <v>1169815</v>
      </c>
      <c r="B24" s="1" t="s">
        <v>15</v>
      </c>
      <c r="C24" s="9">
        <v>70</v>
      </c>
      <c r="D24" s="9">
        <v>120</v>
      </c>
      <c r="E24" s="9">
        <v>75</v>
      </c>
      <c r="F24" s="9">
        <v>135</v>
      </c>
      <c r="G24" s="9">
        <f>SUM(Table2[[#This Row],[Project 1]:[Project 4]])</f>
        <v>400</v>
      </c>
    </row>
    <row r="25">
      <c r="A25" s="1">
        <v>2002584</v>
      </c>
      <c r="B25" s="1" t="s">
        <v>16</v>
      </c>
      <c r="C25" s="9">
        <v>71</v>
      </c>
      <c r="D25" s="9">
        <v>0</v>
      </c>
      <c r="E25" s="9">
        <v>75</v>
      </c>
      <c r="F25" s="9">
        <v>150</v>
      </c>
      <c r="G25" s="9">
        <f>SUM(Table2[[#This Row],[Project 1]:[Project 4]])</f>
        <v>296</v>
      </c>
    </row>
    <row r="26">
      <c r="A26" s="1">
        <v>3009854</v>
      </c>
      <c r="B26" s="1" t="s">
        <v>17</v>
      </c>
      <c r="C26" s="9">
        <v>68</v>
      </c>
      <c r="D26" s="9">
        <v>125</v>
      </c>
      <c r="E26" s="9">
        <v>100</v>
      </c>
      <c r="F26" s="9">
        <v>150</v>
      </c>
      <c r="G26" s="9">
        <f>SUM(Table2[[#This Row],[Project 1]:[Project 4]])</f>
        <v>443</v>
      </c>
    </row>
    <row r="27">
      <c r="A27" s="1">
        <v>1206458</v>
      </c>
      <c r="B27" s="1" t="s">
        <v>18</v>
      </c>
      <c r="C27" s="9">
        <v>65</v>
      </c>
      <c r="D27" s="9">
        <v>125</v>
      </c>
      <c r="E27" s="9">
        <v>98</v>
      </c>
      <c r="F27" s="9">
        <v>145</v>
      </c>
      <c r="G27" s="9">
        <f>SUM(Table2[[#This Row],[Project 1]:[Project 4]])</f>
        <v>433</v>
      </c>
    </row>
    <row r="28">
      <c r="A28" s="1">
        <v>1182548</v>
      </c>
      <c r="B28" s="1" t="s">
        <v>19</v>
      </c>
      <c r="C28" s="9">
        <v>70</v>
      </c>
      <c r="D28" s="9">
        <v>120</v>
      </c>
      <c r="E28" s="9">
        <v>97</v>
      </c>
      <c r="F28" s="9">
        <v>142</v>
      </c>
      <c r="G28" s="9">
        <f>SUM(Table2[[#This Row],[Project 1]:[Project 4]])</f>
        <v>429</v>
      </c>
    </row>
    <row r="29">
      <c r="A29" s="1">
        <v>1195789</v>
      </c>
      <c r="B29" s="1" t="s">
        <v>20</v>
      </c>
      <c r="C29" s="9">
        <v>75</v>
      </c>
      <c r="D29" s="9">
        <v>0</v>
      </c>
      <c r="E29" s="9">
        <v>95</v>
      </c>
      <c r="F29" s="9">
        <v>142</v>
      </c>
      <c r="G29" s="9">
        <f>SUM(Table2[[#This Row],[Project 1]:[Project 4]])</f>
        <v>312</v>
      </c>
    </row>
    <row r="30">
      <c r="A30" s="1">
        <v>3018848</v>
      </c>
      <c r="B30" s="1" t="s">
        <v>21</v>
      </c>
      <c r="C30" s="9">
        <v>75</v>
      </c>
      <c r="D30" s="9">
        <v>115</v>
      </c>
      <c r="E30" s="9">
        <v>90</v>
      </c>
      <c r="F30" s="9">
        <v>141</v>
      </c>
      <c r="G30" s="9">
        <f>SUM(Table2[[#This Row],[Project 1]:[Project 4]])</f>
        <v>421</v>
      </c>
    </row>
    <row r="31">
      <c r="A31" s="1">
        <v>2007894</v>
      </c>
      <c r="B31" s="1" t="s">
        <v>22</v>
      </c>
      <c r="C31" s="9">
        <v>65</v>
      </c>
      <c r="D31" s="9">
        <v>125</v>
      </c>
      <c r="E31" s="9">
        <v>90</v>
      </c>
      <c r="F31" s="9">
        <v>143</v>
      </c>
      <c r="G31" s="9">
        <f>SUM(Table2[[#This Row],[Project 1]:[Project 4]])</f>
        <v>423</v>
      </c>
    </row>
    <row r="32">
      <c r="A32" s="1">
        <v>2017868</v>
      </c>
      <c r="B32" s="1" t="s">
        <v>23</v>
      </c>
      <c r="C32" s="9">
        <v>60</v>
      </c>
      <c r="D32" s="9">
        <v>125</v>
      </c>
      <c r="E32" s="9">
        <v>75</v>
      </c>
      <c r="F32" s="9">
        <v>150</v>
      </c>
      <c r="G32" s="9">
        <f>SUM(Table2[[#This Row],[Project 1]:[Project 4]])</f>
        <v>410</v>
      </c>
    </row>
    <row r="33">
      <c r="A33" s="1">
        <v>2026654</v>
      </c>
      <c r="B33" s="1" t="s">
        <v>24</v>
      </c>
      <c r="C33" s="9">
        <v>55</v>
      </c>
      <c r="D33" s="9">
        <v>115</v>
      </c>
      <c r="E33" s="9">
        <v>75</v>
      </c>
      <c r="F33" s="9">
        <v>150</v>
      </c>
      <c r="G33" s="9">
        <f>SUM(Table2[[#This Row],[Project 1]:[Project 4]])</f>
        <v>395</v>
      </c>
    </row>
    <row r="35">
      <c r="B35" s="21" t="s">
        <v>30</v>
      </c>
    </row>
    <row r="36">
      <c r="B36" s="20" t="s">
        <v>31</v>
      </c>
      <c r="C36" s="0">
        <f>AVERAGE(Table2[Project 1])</f>
        <v>67.4</v>
      </c>
      <c r="D36" s="0">
        <f>AVERAGE(Table2[Project 2])</f>
        <v>113</v>
      </c>
      <c r="E36" s="0">
        <f>AVERAGE(Table2[Project 3])</f>
        <v>87</v>
      </c>
    </row>
    <row r="37">
      <c r="B37" s="20" t="s">
        <v>32</v>
      </c>
      <c r="C37" s="0">
        <f>MAX(Table2[Project 1])</f>
        <v>75</v>
      </c>
      <c r="D37" s="0">
        <f>MAX(Table2[Project 2])</f>
        <v>125</v>
      </c>
      <c r="E37" s="0">
        <f>MAX(Table2[Project 3])</f>
        <v>100</v>
      </c>
    </row>
    <row r="38">
      <c r="B38" s="20" t="s">
        <v>33</v>
      </c>
      <c r="C38" s="0">
        <f>MIN(Table2[Project 1])</f>
        <v>55</v>
      </c>
      <c r="D38" s="0">
        <f>MIN(Table2[Project 2])</f>
        <v>0</v>
      </c>
      <c r="E38" s="0">
        <f>MIN(Table2[Project 3])</f>
        <v>75</v>
      </c>
    </row>
  </sheetData>
  <mergeCells>
    <mergeCell ref="A1:XFD1"/>
    <mergeCell ref="A2:XFD2"/>
  </mergeCell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A1:H35"/>
  <sheetViews>
    <sheetView zoomScale="115" zoomScaleNormal="115" workbookViewId="0">
      <selection sqref="A1:XFD1"/>
    </sheetView>
  </sheetViews>
  <sheetFormatPr defaultRowHeight="15" x14ac:dyDescent="0.25"/>
  <cols>
    <col min="2" max="2" bestFit="1" width="16.28515625" customWidth="1"/>
    <col min="3" max="5" width="9.42578125" customWidth="1"/>
    <col min="6" max="6" width="13.5703125" customWidth="1"/>
    <col min="7" max="7" width="14.140625" customWidth="1"/>
  </cols>
  <sheetData>
    <row r="1" ht="21" s="28" customFormat="1">
      <c r="A1" s="28" t="s">
        <v>0</v>
      </c>
    </row>
    <row r="2" s="29" customFormat="1">
      <c r="A2" s="29" t="s">
        <v>1</v>
      </c>
    </row>
    <row r="3">
      <c r="A3" s="5" t="s">
        <v>2</v>
      </c>
      <c r="B3" s="5" t="s">
        <v>3</v>
      </c>
      <c r="C3" s="10" t="s">
        <v>34</v>
      </c>
      <c r="D3" s="10" t="s">
        <v>35</v>
      </c>
      <c r="E3" s="10" t="s">
        <v>36</v>
      </c>
      <c r="F3" s="10" t="s">
        <v>37</v>
      </c>
      <c r="G3" s="10" t="s">
        <v>38</v>
      </c>
      <c r="H3" s="10" t="s">
        <v>39</v>
      </c>
    </row>
    <row r="4">
      <c r="A4" s="6">
        <v>1169815</v>
      </c>
      <c r="B4" s="6" t="s">
        <v>15</v>
      </c>
      <c r="C4" s="16">
        <v>90</v>
      </c>
      <c r="D4" s="16">
        <v>93</v>
      </c>
      <c r="E4" s="16">
        <v>92</v>
      </c>
      <c r="F4" s="16">
        <f>SUM(Table3[[#This Row],[Exam 1]:[Exam 3]])</f>
        <v>275</v>
      </c>
      <c r="G4" s="16">
        <v>867</v>
      </c>
      <c r="H4" s="16" t="str" cm="1">
        <f ref="H4:H4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B+</v>
      </c>
    </row>
    <row r="5">
      <c r="A5" s="7">
        <v>2002584</v>
      </c>
      <c r="B5" s="7" t="s">
        <v>16</v>
      </c>
      <c r="C5" s="16">
        <v>85</v>
      </c>
      <c r="D5" s="16">
        <v>88</v>
      </c>
      <c r="E5" s="16">
        <v>87</v>
      </c>
      <c r="F5" s="16">
        <f>SUM(Table3[[#This Row],[Exam 1]:[Exam 3]])</f>
        <v>260</v>
      </c>
      <c r="G5" s="16">
        <v>900</v>
      </c>
      <c r="H5" s="16" t="str" cm="1">
        <f ref="H5:H5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B+</v>
      </c>
    </row>
    <row r="6">
      <c r="A6" s="6">
        <v>3009854</v>
      </c>
      <c r="B6" s="6" t="s">
        <v>17</v>
      </c>
      <c r="C6" s="16"/>
      <c r="D6" s="16">
        <v>94</v>
      </c>
      <c r="E6" s="16">
        <v>93</v>
      </c>
      <c r="F6" s="16">
        <f>SUM(Table3[[#This Row],[Exam 1]:[Exam 3]])</f>
        <v>187</v>
      </c>
      <c r="G6" s="16">
        <v>856</v>
      </c>
      <c r="H6" s="16" t="str" cm="1">
        <f ref="H6:H6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B+</v>
      </c>
    </row>
    <row r="7">
      <c r="A7" s="7">
        <v>1206458</v>
      </c>
      <c r="B7" s="7" t="s">
        <v>18</v>
      </c>
      <c r="C7" s="16">
        <v>86</v>
      </c>
      <c r="D7" s="16">
        <v>89</v>
      </c>
      <c r="E7" s="16">
        <v>88</v>
      </c>
      <c r="F7" s="16">
        <f>SUM(Table3[[#This Row],[Exam 1]:[Exam 3]])</f>
        <v>263</v>
      </c>
      <c r="G7" s="16">
        <v>916</v>
      </c>
      <c r="H7" s="16" t="str" cm="1">
        <f ref="H7:H7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A</v>
      </c>
    </row>
    <row r="8">
      <c r="A8" s="6">
        <v>1182548</v>
      </c>
      <c r="B8" s="6" t="s">
        <v>19</v>
      </c>
      <c r="C8" s="16">
        <v>84</v>
      </c>
      <c r="D8" s="16"/>
      <c r="E8" s="16">
        <v>86</v>
      </c>
      <c r="F8" s="16">
        <f>SUM(Table3[[#This Row],[Exam 1]:[Exam 3]])</f>
        <v>170</v>
      </c>
      <c r="G8" s="16">
        <v>821</v>
      </c>
      <c r="H8" s="16" t="str" cm="1">
        <f ref="H8:H8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B</v>
      </c>
    </row>
    <row r="9">
      <c r="A9" s="7">
        <v>1195789</v>
      </c>
      <c r="B9" s="7" t="s">
        <v>20</v>
      </c>
      <c r="C9" s="16">
        <v>83</v>
      </c>
      <c r="D9" s="16">
        <v>86</v>
      </c>
      <c r="E9" s="16">
        <v>85</v>
      </c>
      <c r="F9" s="16">
        <f>SUM(Table3[[#This Row],[Exam 1]:[Exam 3]])</f>
        <v>254</v>
      </c>
      <c r="G9" s="16">
        <v>901</v>
      </c>
      <c r="H9" s="16" t="str" cm="1">
        <f ref="H9:H9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A</v>
      </c>
    </row>
    <row r="10">
      <c r="A10" s="6">
        <v>3018848</v>
      </c>
      <c r="B10" s="6" t="s">
        <v>21</v>
      </c>
      <c r="C10" s="16">
        <v>75</v>
      </c>
      <c r="D10" s="16">
        <v>78</v>
      </c>
      <c r="E10" s="16"/>
      <c r="F10" s="16">
        <f>SUM(Table3[[#This Row],[Exam 1]:[Exam 3]])</f>
        <v>153</v>
      </c>
      <c r="G10" s="16">
        <v>787</v>
      </c>
      <c r="H10" s="16" t="str" cm="1">
        <f ref="H10:H10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C+</v>
      </c>
    </row>
    <row r="11">
      <c r="A11" s="7">
        <v>2007894</v>
      </c>
      <c r="B11" s="7" t="s">
        <v>22</v>
      </c>
      <c r="C11" s="16"/>
      <c r="D11" s="16">
        <v>77</v>
      </c>
      <c r="E11" s="16">
        <v>76</v>
      </c>
      <c r="F11" s="16">
        <f>SUM(Table3[[#This Row],[Exam 1]:[Exam 3]])</f>
        <v>153</v>
      </c>
      <c r="G11" s="16">
        <v>789</v>
      </c>
      <c r="H11" s="16" t="str" cm="1">
        <f ref="H11:H11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C+</v>
      </c>
    </row>
    <row r="12">
      <c r="A12" s="6">
        <v>2017868</v>
      </c>
      <c r="B12" s="6" t="s">
        <v>23</v>
      </c>
      <c r="C12" s="16">
        <v>77</v>
      </c>
      <c r="D12" s="16">
        <v>80</v>
      </c>
      <c r="E12" s="16">
        <v>79</v>
      </c>
      <c r="F12" s="16">
        <f>SUM(Table3[[#This Row],[Exam 1]:[Exam 3]])</f>
        <v>236</v>
      </c>
      <c r="G12" s="16">
        <v>854</v>
      </c>
      <c r="H12" s="16" t="str" cm="1">
        <f ref="H12:H12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B+</v>
      </c>
    </row>
    <row r="13">
      <c r="A13" s="2">
        <v>2026654</v>
      </c>
      <c r="B13" s="2" t="s">
        <v>24</v>
      </c>
      <c r="C13" s="16">
        <v>90</v>
      </c>
      <c r="D13" s="16">
        <v>93</v>
      </c>
      <c r="E13" s="16">
        <v>92</v>
      </c>
      <c r="F13" s="16">
        <f>SUM(Table3[[#This Row],[Exam 1]:[Exam 3]])</f>
        <v>275</v>
      </c>
      <c r="G13" s="16">
        <v>896</v>
      </c>
      <c r="H13" s="16" t="str" cm="1">
        <f ref="H13:H13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B+</v>
      </c>
    </row>
    <row r="14">
      <c r="A14" s="8">
        <v>1171234</v>
      </c>
      <c r="B14" s="8" t="s">
        <v>40</v>
      </c>
      <c r="C14" s="16">
        <v>95</v>
      </c>
      <c r="D14" s="16">
        <v>98</v>
      </c>
      <c r="E14" s="16">
        <v>97</v>
      </c>
      <c r="F14" s="16">
        <f>SUM(Table3[[#This Row],[Exam 1]:[Exam 3]])</f>
        <v>290</v>
      </c>
      <c r="G14" s="16">
        <v>936</v>
      </c>
      <c r="H14" s="16" t="str" cm="1">
        <f ref="H14:H14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A</v>
      </c>
    </row>
    <row r="15">
      <c r="A15" s="0">
        <v>1184567</v>
      </c>
      <c r="B15" s="0" t="s">
        <v>41</v>
      </c>
      <c r="C15" s="16">
        <v>100</v>
      </c>
      <c r="D15" s="16">
        <v>91</v>
      </c>
      <c r="E15" s="16">
        <v>96</v>
      </c>
      <c r="F15" s="16">
        <f>SUM(Table3[[#This Row],[Exam 1]:[Exam 3]])</f>
        <v>287</v>
      </c>
      <c r="G15" s="16">
        <v>901</v>
      </c>
      <c r="H15" s="16" t="str" cm="1">
        <f ref="H15:H15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A</v>
      </c>
    </row>
    <row r="16">
      <c r="A16" s="8">
        <v>1195546</v>
      </c>
      <c r="B16" s="8" t="s">
        <v>42</v>
      </c>
      <c r="C16" s="16">
        <v>99</v>
      </c>
      <c r="D16" s="16"/>
      <c r="E16" s="16">
        <v>96</v>
      </c>
      <c r="F16" s="16">
        <f>SUM(Table3[[#This Row],[Exam 1]:[Exam 3]])</f>
        <v>195</v>
      </c>
      <c r="G16" s="16">
        <v>811</v>
      </c>
      <c r="H16" s="16" t="str" cm="1">
        <f ref="H16:H16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B</v>
      </c>
    </row>
    <row r="17">
      <c r="A17" s="0">
        <v>1208884</v>
      </c>
      <c r="B17" s="0" t="s">
        <v>43</v>
      </c>
      <c r="C17" s="16">
        <v>98</v>
      </c>
      <c r="D17" s="16">
        <v>91</v>
      </c>
      <c r="E17" s="16">
        <v>95</v>
      </c>
      <c r="F17" s="16">
        <f>SUM(Table3[[#This Row],[Exam 1]:[Exam 3]])</f>
        <v>284</v>
      </c>
      <c r="G17" s="16">
        <v>903</v>
      </c>
      <c r="H17" s="16" t="str" cm="1">
        <f ref="H17:H17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A</v>
      </c>
    </row>
    <row r="18">
      <c r="A18" s="8">
        <v>1167894</v>
      </c>
      <c r="B18" s="8" t="s">
        <v>44</v>
      </c>
      <c r="C18" s="16">
        <v>75</v>
      </c>
      <c r="D18" s="16">
        <v>78</v>
      </c>
      <c r="E18" s="16"/>
      <c r="F18" s="16">
        <f>SUM(Table3[[#This Row],[Exam 1]:[Exam 3]])</f>
        <v>153</v>
      </c>
      <c r="G18" s="16">
        <v>777</v>
      </c>
      <c r="H18" s="16" t="str" cm="1">
        <f ref="H18:H18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C+</v>
      </c>
    </row>
    <row r="19">
      <c r="A19" s="0">
        <v>1163214</v>
      </c>
      <c r="B19" s="0" t="s">
        <v>45</v>
      </c>
      <c r="C19" s="16">
        <v>77</v>
      </c>
      <c r="D19" s="16">
        <v>80</v>
      </c>
      <c r="E19" s="16">
        <v>79</v>
      </c>
      <c r="F19" s="16">
        <f>SUM(Table3[[#This Row],[Exam 1]:[Exam 3]])</f>
        <v>236</v>
      </c>
      <c r="G19" s="16">
        <v>878</v>
      </c>
      <c r="H19" s="16" t="str" cm="1">
        <f ref="H19:H19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B+</v>
      </c>
    </row>
    <row r="20">
      <c r="A20" s="8">
        <v>1166549</v>
      </c>
      <c r="B20" s="8" t="s">
        <v>46</v>
      </c>
      <c r="C20" s="16">
        <v>68</v>
      </c>
      <c r="D20" s="16">
        <v>71</v>
      </c>
      <c r="E20" s="16">
        <v>70</v>
      </c>
      <c r="F20" s="16">
        <f>SUM(Table3[[#This Row],[Exam 1]:[Exam 3]])</f>
        <v>209</v>
      </c>
      <c r="G20" s="16">
        <v>864</v>
      </c>
      <c r="H20" s="16" t="str" cm="1">
        <f ref="H20:H20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B+</v>
      </c>
    </row>
    <row r="21">
      <c r="A21" s="0">
        <v>1179876</v>
      </c>
      <c r="B21" s="0" t="s">
        <v>47</v>
      </c>
      <c r="C21" s="16"/>
      <c r="D21" s="16">
        <v>68</v>
      </c>
      <c r="E21" s="16">
        <v>67</v>
      </c>
      <c r="F21" s="16">
        <f>SUM(Table3[[#This Row],[Exam 1]:[Exam 3]])</f>
        <v>135</v>
      </c>
      <c r="G21" s="16">
        <v>779</v>
      </c>
      <c r="H21" s="16" t="str" cm="1">
        <f ref="H21:H21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C+</v>
      </c>
    </row>
    <row r="22">
      <c r="A22" s="8">
        <v>1179876</v>
      </c>
      <c r="B22" s="8" t="s">
        <v>48</v>
      </c>
      <c r="C22" s="16">
        <v>100</v>
      </c>
      <c r="D22" s="16">
        <v>95</v>
      </c>
      <c r="E22" s="16">
        <v>98</v>
      </c>
      <c r="F22" s="16">
        <f>SUM(Table3[[#This Row],[Exam 1]:[Exam 3]])</f>
        <v>293</v>
      </c>
      <c r="G22" s="16">
        <v>925</v>
      </c>
      <c r="H22" s="16" t="str" cm="1">
        <f ref="H22:H22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A</v>
      </c>
    </row>
    <row r="23">
      <c r="A23" s="0">
        <v>1189876</v>
      </c>
      <c r="B23" s="0" t="s">
        <v>49</v>
      </c>
      <c r="C23" s="16">
        <v>95</v>
      </c>
      <c r="D23" s="16">
        <v>98</v>
      </c>
      <c r="E23" s="16"/>
      <c r="F23" s="16">
        <f>SUM(Table3[[#This Row],[Exam 1]:[Exam 3]])</f>
        <v>193</v>
      </c>
      <c r="G23" s="16">
        <v>823</v>
      </c>
      <c r="H23" s="16" t="str" cm="1">
        <f ref="H23:H23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B</v>
      </c>
    </row>
    <row r="24">
      <c r="A24" s="8">
        <v>1254446</v>
      </c>
      <c r="B24" s="8" t="s">
        <v>50</v>
      </c>
      <c r="C24" s="16">
        <v>98</v>
      </c>
      <c r="D24" s="16">
        <v>91</v>
      </c>
      <c r="E24" s="16">
        <v>95</v>
      </c>
      <c r="F24" s="16">
        <f>SUM(Table3[[#This Row],[Exam 1]:[Exam 3]])</f>
        <v>284</v>
      </c>
      <c r="G24" s="16">
        <v>893</v>
      </c>
      <c r="H24" s="16" t="str" cm="1">
        <f ref="H24:H24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B+</v>
      </c>
    </row>
    <row r="25">
      <c r="A25" s="0">
        <v>1264445</v>
      </c>
      <c r="B25" s="0" t="s">
        <v>51</v>
      </c>
      <c r="C25" s="16">
        <v>97</v>
      </c>
      <c r="D25" s="16">
        <v>100</v>
      </c>
      <c r="E25" s="16">
        <v>99</v>
      </c>
      <c r="F25" s="16">
        <f>SUM(Table3[[#This Row],[Exam 1]:[Exam 3]])</f>
        <v>296</v>
      </c>
      <c r="G25" s="16">
        <v>918</v>
      </c>
      <c r="H25" s="16" t="str" cm="1">
        <f ref="H25:H25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A</v>
      </c>
    </row>
    <row r="26">
      <c r="A26" s="8">
        <v>1275568</v>
      </c>
      <c r="B26" s="8" t="s">
        <v>52</v>
      </c>
      <c r="C26" s="16"/>
      <c r="D26" s="16">
        <v>90</v>
      </c>
      <c r="E26" s="16"/>
      <c r="F26" s="16">
        <f>SUM(Table3[[#This Row],[Exam 1]:[Exam 3]])</f>
        <v>90</v>
      </c>
      <c r="G26" s="16">
        <v>739</v>
      </c>
      <c r="H26" s="16" t="str" cm="1">
        <f ref="H26:H26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C</v>
      </c>
    </row>
    <row r="27">
      <c r="A27" s="0">
        <v>1289994</v>
      </c>
      <c r="B27" s="0" t="s">
        <v>53</v>
      </c>
      <c r="C27" s="16">
        <v>99</v>
      </c>
      <c r="D27" s="16"/>
      <c r="E27" s="16">
        <v>96</v>
      </c>
      <c r="F27" s="16">
        <f>SUM(Table3[[#This Row],[Exam 1]:[Exam 3]])</f>
        <v>195</v>
      </c>
      <c r="G27" s="16">
        <v>838</v>
      </c>
      <c r="H27" s="16" t="str" cm="1">
        <f ref="H27:H27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B</v>
      </c>
    </row>
    <row r="28">
      <c r="A28" s="8">
        <v>1265558</v>
      </c>
      <c r="B28" s="8" t="s">
        <v>54</v>
      </c>
      <c r="C28" s="16">
        <v>100</v>
      </c>
      <c r="D28" s="16">
        <v>93</v>
      </c>
      <c r="E28" s="16">
        <v>97</v>
      </c>
      <c r="F28" s="16">
        <f>SUM(Table3[[#This Row],[Exam 1]:[Exam 3]])</f>
        <v>290</v>
      </c>
      <c r="G28" s="16">
        <v>814</v>
      </c>
      <c r="H28" s="16" t="str" cm="1">
        <f ref="H28:H28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B</v>
      </c>
    </row>
    <row r="29">
      <c r="A29" s="0">
        <v>3018875</v>
      </c>
      <c r="B29" s="0" t="s">
        <v>55</v>
      </c>
      <c r="C29" s="16">
        <v>89</v>
      </c>
      <c r="D29" s="16">
        <v>92</v>
      </c>
      <c r="E29" s="16">
        <v>91</v>
      </c>
      <c r="F29" s="16">
        <f>SUM(Table3[[#This Row],[Exam 1]:[Exam 3]])</f>
        <v>272</v>
      </c>
      <c r="G29" s="16">
        <v>793</v>
      </c>
      <c r="H29" s="16" t="str" cm="1">
        <f ref="H29:H29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C+</v>
      </c>
    </row>
    <row r="30">
      <c r="A30" s="8">
        <v>2051147</v>
      </c>
      <c r="B30" s="8" t="s">
        <v>56</v>
      </c>
      <c r="C30" s="16">
        <v>87</v>
      </c>
      <c r="D30" s="16">
        <v>90</v>
      </c>
      <c r="E30" s="16"/>
      <c r="F30" s="16">
        <f>SUM(Table3[[#This Row],[Exam 1]:[Exam 3]])</f>
        <v>177</v>
      </c>
      <c r="G30" s="16">
        <v>787</v>
      </c>
      <c r="H30" s="16" t="str" cm="1">
        <f ref="H30:H30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C+</v>
      </c>
    </row>
    <row r="31">
      <c r="A31" s="0">
        <v>1207894</v>
      </c>
      <c r="B31" s="0" t="s">
        <v>57</v>
      </c>
      <c r="C31" s="16">
        <v>77</v>
      </c>
      <c r="D31" s="16">
        <v>80</v>
      </c>
      <c r="E31" s="16">
        <v>79</v>
      </c>
      <c r="F31" s="16">
        <f>SUM(Table3[[#This Row],[Exam 1]:[Exam 3]])</f>
        <v>236</v>
      </c>
      <c r="G31" s="16">
        <v>843</v>
      </c>
      <c r="H31" s="16" t="str" cm="1">
        <f ref="H31:H31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B</v>
      </c>
    </row>
    <row r="32">
      <c r="A32" s="8">
        <v>1214567</v>
      </c>
      <c r="B32" s="0" t="s">
        <v>58</v>
      </c>
      <c r="C32" s="16">
        <v>75</v>
      </c>
      <c r="D32" s="16">
        <v>78</v>
      </c>
      <c r="E32" s="16">
        <v>77</v>
      </c>
      <c r="F32" s="16">
        <f>SUM(Table3[[#This Row],[Exam 1]:[Exam 3]])</f>
        <v>230</v>
      </c>
      <c r="G32" s="16">
        <v>875</v>
      </c>
      <c r="H32" s="16" t="str" cm="1">
        <f ref="H32:H32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B+</v>
      </c>
    </row>
    <row r="33">
      <c r="A33" s="0">
        <v>1225879</v>
      </c>
      <c r="B33" s="0" t="s">
        <v>59</v>
      </c>
      <c r="C33" s="16">
        <v>74</v>
      </c>
      <c r="D33" s="16">
        <v>77</v>
      </c>
      <c r="E33" s="16">
        <v>76</v>
      </c>
      <c r="F33" s="16">
        <f>SUM(Table3[[#This Row],[Exam 1]:[Exam 3]])</f>
        <v>227</v>
      </c>
      <c r="G33" s="16">
        <v>886</v>
      </c>
      <c r="H33" s="16" t="str" cm="1">
        <f ref="H33:H33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B+</v>
      </c>
    </row>
    <row r="35">
      <c r="A35" s="11" t="s">
        <v>60</v>
      </c>
      <c r="C35" s="12">
        <f>COUNTBLANK(Table3[Exam 1])</f>
        <v>4</v>
      </c>
      <c r="D35" s="12">
        <f>COUNTBLANK(Table3[Exam 2])</f>
        <v>3</v>
      </c>
      <c r="E35" s="12"/>
    </row>
  </sheetData>
  <mergeCells>
    <mergeCell ref="A1:XFD1"/>
    <mergeCell ref="A2:XFD2"/>
  </mergeCell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</sheetPr>
  <dimension ref="A1:F36"/>
  <sheetViews>
    <sheetView workbookViewId="0">
      <selection activeCell="D26" sqref="D26"/>
    </sheetView>
  </sheetViews>
  <sheetFormatPr defaultRowHeight="15" x14ac:dyDescent="0.25"/>
  <cols>
    <col min="1" max="1" bestFit="1" width="11.85546875" customWidth="1"/>
    <col min="5" max="5" width="12.85546875" customWidth="1"/>
    <col min="6" max="6" bestFit="1" width="8.28515625" customWidth="1"/>
  </cols>
  <sheetData>
    <row r="1" ht="21" s="31" customFormat="1">
      <c r="A1" s="31" t="s">
        <v>0</v>
      </c>
    </row>
    <row r="2" s="29" customFormat="1">
      <c r="A2" s="29" t="s">
        <v>1</v>
      </c>
    </row>
    <row r="4" ht="15.75">
      <c r="A4" s="32" t="s">
        <v>61</v>
      </c>
      <c r="B4" s="32"/>
      <c r="E4" s="17" t="s">
        <v>62</v>
      </c>
      <c r="F4" s="17" t="s">
        <v>39</v>
      </c>
    </row>
    <row r="5" ht="18.75">
      <c r="A5" s="15" t="s">
        <v>63</v>
      </c>
      <c r="E5" s="9">
        <v>0</v>
      </c>
      <c r="F5" s="9" t="str" cm="1">
        <f ref="F5:F5" t="array">_xlfn.IFS(Table5[[#This Row],[Total Points]]&gt;950,"A+",Table5[[#This Row],[Total Points]]&gt;900,"A",Table5[[#This Row],[Total Points]]=900,"A-",Table5[[#This Row],[Total Points]]&gt;850,"B+",Table5[[#This Row],[Total Points]]&gt;800,"B",Table5[[#This Row],[Total Points]]=800,"B-",Table5[[#This Row],[Total Points]]&gt;750,"C+",Table5[[#This Row],[Total Points]]&gt;700,"C",Table5[[#This Row],[Total Points]]&gt;650,"D+",Table5[[#This Row],[Total Points]]&gt;600,"D",Table5[[#This Row],[Total Points]]=600,"D-",Table5[[#This Row],[Total Points]]=0,"F")</f>
        <v>F</v>
      </c>
    </row>
    <row r="6">
      <c r="A6" s="16" t="s">
        <v>64</v>
      </c>
      <c r="B6" s="16">
        <v>25</v>
      </c>
      <c r="E6" s="9">
        <v>600</v>
      </c>
      <c r="F6" s="9" t="str" cm="1">
        <f ref="F6:F6" t="array">_xlfn.IFS(Table5[[#This Row],[Total Points]]&gt;950,"A+",Table5[[#This Row],[Total Points]]&gt;900,"A",Table5[[#This Row],[Total Points]]=900,"A-",Table5[[#This Row],[Total Points]]&gt;850,"B+",Table5[[#This Row],[Total Points]]&gt;800,"B",Table5[[#This Row],[Total Points]]=800,"B-",Table5[[#This Row],[Total Points]]&gt;750,"C+",Table5[[#This Row],[Total Points]]&gt;700,"C",Table5[[#This Row],[Total Points]]&gt;650,"D+",Table5[[#This Row],[Total Points]]&gt;600,"D",Table5[[#This Row],[Total Points]]=600,"D-",Table5[[#This Row],[Total Points]]=0,"F")</f>
        <v>D-</v>
      </c>
    </row>
    <row r="7">
      <c r="A7" s="16" t="s">
        <v>65</v>
      </c>
      <c r="B7" s="16">
        <v>25</v>
      </c>
      <c r="E7" s="9">
        <v>640</v>
      </c>
      <c r="F7" s="9" t="str" cm="1">
        <f ref="F7:F7" t="array">_xlfn.IFS(Table5[[#This Row],[Total Points]]&gt;950,"A+",Table5[[#This Row],[Total Points]]&gt;900,"A",Table5[[#This Row],[Total Points]]=900,"A-",Table5[[#This Row],[Total Points]]&gt;850,"B+",Table5[[#This Row],[Total Points]]&gt;800,"B",Table5[[#This Row],[Total Points]]=800,"B-",Table5[[#This Row],[Total Points]]&gt;750,"C+",Table5[[#This Row],[Total Points]]&gt;700,"C",Table5[[#This Row],[Total Points]]&gt;650,"D+",Table5[[#This Row],[Total Points]]&gt;600,"D",Table5[[#This Row],[Total Points]]=600,"D-",Table5[[#This Row],[Total Points]]=0,"F")</f>
        <v>D</v>
      </c>
    </row>
    <row r="8">
      <c r="A8" s="16" t="s">
        <v>66</v>
      </c>
      <c r="B8" s="16">
        <v>25</v>
      </c>
      <c r="E8" s="9">
        <v>670</v>
      </c>
      <c r="F8" s="9" t="str" cm="1">
        <f ref="F8:F8" t="array">_xlfn.IFS(Table5[[#This Row],[Total Points]]&gt;950,"A+",Table5[[#This Row],[Total Points]]&gt;900,"A",Table5[[#This Row],[Total Points]]=900,"A-",Table5[[#This Row],[Total Points]]&gt;850,"B+",Table5[[#This Row],[Total Points]]&gt;800,"B",Table5[[#This Row],[Total Points]]=800,"B-",Table5[[#This Row],[Total Points]]&gt;750,"C+",Table5[[#This Row],[Total Points]]&gt;700,"C",Table5[[#This Row],[Total Points]]&gt;650,"D+",Table5[[#This Row],[Total Points]]&gt;600,"D",Table5[[#This Row],[Total Points]]=600,"D-",Table5[[#This Row],[Total Points]]=0,"F")</f>
        <v>D+</v>
      </c>
    </row>
    <row r="9">
      <c r="A9" s="16" t="s">
        <v>67</v>
      </c>
      <c r="B9" s="16">
        <v>25</v>
      </c>
      <c r="E9" s="9">
        <v>700</v>
      </c>
      <c r="F9" s="9" t="str" cm="1">
        <f ref="F9:F9" t="array">_xlfn.IFS(Table5[[#This Row],[Total Points]]&gt;950,"A+",Table5[[#This Row],[Total Points]]&gt;900,"A",Table5[[#This Row],[Total Points]]=900,"A-",Table5[[#This Row],[Total Points]]&gt;850,"B+",Table5[[#This Row],[Total Points]]&gt;800,"B",Table5[[#This Row],[Total Points]]=800,"B-",Table5[[#This Row],[Total Points]]&gt;750,"C+",Table5[[#This Row],[Total Points]]&gt;700,"C",Table5[[#This Row],[Total Points]]&gt;650,"D+",Table5[[#This Row],[Total Points]]&gt;600,"D",Table5[[#This Row],[Total Points]]=600,"D-",Table5[[#This Row],[Total Points]]=0,"F")</f>
        <v>D+</v>
      </c>
    </row>
    <row r="10">
      <c r="A10" s="16" t="s">
        <v>68</v>
      </c>
      <c r="B10" s="16">
        <v>25</v>
      </c>
      <c r="E10" s="9">
        <v>740</v>
      </c>
      <c r="F10" s="9" t="str" cm="1">
        <f ref="F10:F10" t="array">_xlfn.IFS(Table5[[#This Row],[Total Points]]&gt;950,"A+",Table5[[#This Row],[Total Points]]&gt;900,"A",Table5[[#This Row],[Total Points]]=900,"A-",Table5[[#This Row],[Total Points]]&gt;850,"B+",Table5[[#This Row],[Total Points]]&gt;800,"B",Table5[[#This Row],[Total Points]]=800,"B-",Table5[[#This Row],[Total Points]]&gt;750,"C+",Table5[[#This Row],[Total Points]]&gt;700,"C",Table5[[#This Row],[Total Points]]&gt;650,"D+",Table5[[#This Row],[Total Points]]&gt;600,"D",Table5[[#This Row],[Total Points]]=600,"D-",Table5[[#This Row],[Total Points]]=0,"F")</f>
        <v>C</v>
      </c>
    </row>
    <row r="11">
      <c r="A11" s="16" t="s">
        <v>69</v>
      </c>
      <c r="B11" s="16">
        <v>25</v>
      </c>
      <c r="E11" s="9">
        <v>770</v>
      </c>
      <c r="F11" s="9" t="str" cm="1">
        <f ref="F11:F11" t="array">_xlfn.IFS(Table5[[#This Row],[Total Points]]&gt;950,"A+",Table5[[#This Row],[Total Points]]&gt;900,"A",Table5[[#This Row],[Total Points]]=900,"A-",Table5[[#This Row],[Total Points]]&gt;850,"B+",Table5[[#This Row],[Total Points]]&gt;800,"B",Table5[[#This Row],[Total Points]]=800,"B-",Table5[[#This Row],[Total Points]]&gt;750,"C+",Table5[[#This Row],[Total Points]]&gt;700,"C",Table5[[#This Row],[Total Points]]&gt;650,"D+",Table5[[#This Row],[Total Points]]&gt;600,"D",Table5[[#This Row],[Total Points]]=600,"D-",Table5[[#This Row],[Total Points]]=0,"F")</f>
        <v>C+</v>
      </c>
    </row>
    <row r="12">
      <c r="A12" s="16" t="s">
        <v>70</v>
      </c>
      <c r="B12" s="16">
        <v>25</v>
      </c>
      <c r="E12" s="9">
        <v>800</v>
      </c>
      <c r="F12" s="9" t="str" cm="1">
        <f ref="F12:F12" t="array">_xlfn.IFS(Table5[[#This Row],[Total Points]]&gt;950,"A+",Table5[[#This Row],[Total Points]]&gt;900,"A",Table5[[#This Row],[Total Points]]=900,"A-",Table5[[#This Row],[Total Points]]&gt;850,"B+",Table5[[#This Row],[Total Points]]&gt;800,"B",Table5[[#This Row],[Total Points]]=800,"B-",Table5[[#This Row],[Total Points]]&gt;750,"C+",Table5[[#This Row],[Total Points]]&gt;700,"C",Table5[[#This Row],[Total Points]]&gt;650,"D+",Table5[[#This Row],[Total Points]]&gt;600,"D",Table5[[#This Row],[Total Points]]=600,"D-",Table5[[#This Row],[Total Points]]=0,"F")</f>
        <v>B-</v>
      </c>
    </row>
    <row r="13">
      <c r="A13" s="16" t="s">
        <v>71</v>
      </c>
      <c r="B13" s="16">
        <v>25</v>
      </c>
      <c r="E13" s="9">
        <v>840</v>
      </c>
      <c r="F13" s="9" t="str" cm="1">
        <f ref="F13:F13" t="array">_xlfn.IFS(Table5[[#This Row],[Total Points]]&gt;950,"A+",Table5[[#This Row],[Total Points]]&gt;900,"A",Table5[[#This Row],[Total Points]]=900,"A-",Table5[[#This Row],[Total Points]]&gt;850,"B+",Table5[[#This Row],[Total Points]]&gt;800,"B",Table5[[#This Row],[Total Points]]=800,"B-",Table5[[#This Row],[Total Points]]&gt;750,"C+",Table5[[#This Row],[Total Points]]&gt;700,"C",Table5[[#This Row],[Total Points]]&gt;650,"D+",Table5[[#This Row],[Total Points]]&gt;600,"D",Table5[[#This Row],[Total Points]]=600,"D-",Table5[[#This Row],[Total Points]]=0,"F")</f>
        <v>B</v>
      </c>
    </row>
    <row r="14">
      <c r="A14" s="16" t="s">
        <v>72</v>
      </c>
      <c r="B14" s="16">
        <v>25</v>
      </c>
      <c r="E14" s="9">
        <v>870</v>
      </c>
      <c r="F14" s="9" t="str" cm="1">
        <f ref="F14:F14" t="array">_xlfn.IFS(Table5[[#This Row],[Total Points]]&gt;950,"A+",Table5[[#This Row],[Total Points]]&gt;900,"A",Table5[[#This Row],[Total Points]]=900,"A-",Table5[[#This Row],[Total Points]]&gt;850,"B+",Table5[[#This Row],[Total Points]]&gt;800,"B",Table5[[#This Row],[Total Points]]=800,"B-",Table5[[#This Row],[Total Points]]&gt;750,"C+",Table5[[#This Row],[Total Points]]&gt;700,"C",Table5[[#This Row],[Total Points]]&gt;650,"D+",Table5[[#This Row],[Total Points]]&gt;600,"D",Table5[[#This Row],[Total Points]]=600,"D-",Table5[[#This Row],[Total Points]]=0,"F")</f>
        <v>B+</v>
      </c>
    </row>
    <row r="15" ht="15.75">
      <c r="A15" s="22" t="s">
        <v>73</v>
      </c>
      <c r="B15" s="22">
        <v>25</v>
      </c>
      <c r="E15" s="9">
        <v>900</v>
      </c>
      <c r="F15" s="9" t="str" cm="1">
        <f ref="F15:F15" t="array">_xlfn.IFS(Table5[[#This Row],[Total Points]]&gt;950,"A+",Table5[[#This Row],[Total Points]]&gt;900,"A",Table5[[#This Row],[Total Points]]=900,"A-",Table5[[#This Row],[Total Points]]&gt;850,"B+",Table5[[#This Row],[Total Points]]&gt;800,"B",Table5[[#This Row],[Total Points]]=800,"B-",Table5[[#This Row],[Total Points]]&gt;750,"C+",Table5[[#This Row],[Total Points]]&gt;700,"C",Table5[[#This Row],[Total Points]]&gt;650,"D+",Table5[[#This Row],[Total Points]]&gt;600,"D",Table5[[#This Row],[Total Points]]=600,"D-",Table5[[#This Row],[Total Points]]=0,"F")</f>
        <v>A-</v>
      </c>
    </row>
    <row r="16" ht="30.75">
      <c r="A16" s="14" t="s">
        <v>74</v>
      </c>
      <c r="B16" s="18">
        <f>SUM(B6:B15)</f>
        <v>250</v>
      </c>
      <c r="E16" s="9">
        <v>950</v>
      </c>
      <c r="F16" s="9" t="str" cm="1">
        <f ref="F16:F16" t="array">_xlfn.IFS(Table5[[#This Row],[Total Points]]&gt;950,"A+",Table5[[#This Row],[Total Points]]&gt;900,"A",Table5[[#This Row],[Total Points]]=900,"A-",Table5[[#This Row],[Total Points]]&gt;850,"B+",Table5[[#This Row],[Total Points]]&gt;800,"B",Table5[[#This Row],[Total Points]]=800,"B-",Table5[[#This Row],[Total Points]]&gt;750,"C+",Table5[[#This Row],[Total Points]]&gt;700,"C",Table5[[#This Row],[Total Points]]&gt;650,"D+",Table5[[#This Row],[Total Points]]&gt;600,"D",Table5[[#This Row],[Total Points]]=600,"D-",Table5[[#This Row],[Total Points]]=0,"F")</f>
        <v>A</v>
      </c>
    </row>
    <row r="17" ht="18.75">
      <c r="A17" s="23" t="s">
        <v>75</v>
      </c>
      <c r="B17" s="24"/>
    </row>
    <row r="18">
      <c r="A18" s="9" t="s">
        <v>64</v>
      </c>
      <c r="B18" s="9">
        <v>75</v>
      </c>
    </row>
    <row r="19">
      <c r="A19" s="9" t="s">
        <v>65</v>
      </c>
      <c r="B19" s="9">
        <v>125</v>
      </c>
    </row>
    <row r="20">
      <c r="A20" s="9" t="s">
        <v>66</v>
      </c>
      <c r="B20" s="9">
        <v>100</v>
      </c>
    </row>
    <row r="21" ht="15.75">
      <c r="A21" s="25" t="s">
        <v>67</v>
      </c>
      <c r="B21" s="25">
        <v>150</v>
      </c>
    </row>
    <row r="22" ht="22.15" customHeight="1">
      <c r="A22" s="19" t="s">
        <v>29</v>
      </c>
      <c r="B22" s="18">
        <f>SUM(B18:B21)</f>
        <v>450</v>
      </c>
    </row>
    <row r="23" ht="18.75">
      <c r="A23" s="23" t="s">
        <v>76</v>
      </c>
      <c r="B23" s="24"/>
    </row>
    <row r="24">
      <c r="A24" s="9" t="s">
        <v>64</v>
      </c>
      <c r="B24" s="9">
        <v>100</v>
      </c>
    </row>
    <row r="25">
      <c r="A25" s="9" t="s">
        <v>65</v>
      </c>
      <c r="B25" s="9">
        <v>100</v>
      </c>
    </row>
    <row r="26" ht="15.75">
      <c r="A26" s="9" t="s">
        <v>66</v>
      </c>
      <c r="B26" s="9">
        <v>100</v>
      </c>
    </row>
    <row r="27" ht="15.75">
      <c r="A27" s="26" t="s">
        <v>77</v>
      </c>
      <c r="B27" s="26">
        <f>SUM(B24:B26)</f>
        <v>300</v>
      </c>
    </row>
    <row r="28" ht="15.75">
      <c r="A28" s="26" t="s">
        <v>78</v>
      </c>
      <c r="B28" s="27"/>
    </row>
    <row r="32">
      <c r="F32" s="13"/>
    </row>
    <row r="36">
      <c r="E36" s="13"/>
    </row>
  </sheetData>
  <mergeCells>
    <mergeCell ref="A1:XFD1"/>
    <mergeCell ref="A2:XFD2"/>
    <mergeCell ref="A4:B4"/>
  </mergeCells>
  <phoneticPr fontId="6" type="noConversion"/>
  <pageMargins left="0.7" right="0.7" top="0.75" bottom="0.75" header="0.3" footer="0.3"/>
  <headerFooter/>
  <tableParts count="1">
    <tablePart r:id="rId1"/>
  </tableParts>
</worksheet>
</file>

<file path=EPPlusLicense.txt>This workbook was created with the EPPlus library, licensed to Alo1234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1</vt:i4>
      </vt:variant>
    </vt:vector>
  </HeadingPairs>
  <TitlesOfParts>
    <vt:vector size="5" baseType="lpstr">
      <vt:lpstr>Tasks</vt:lpstr>
      <vt:lpstr>Projects</vt:lpstr>
      <vt:lpstr>Exams</vt:lpstr>
      <vt:lpstr>Grade Criteria</vt:lpstr>
      <vt:lpstr>Score Distribution</vt:lpstr>
    </vt:vector>
  </TitlesOfParts>
  <Company/>
  <LinksUpToDate>false</LinksUpToDate>
  <SharedDoc>false</SharedDoc>
  <HyperlinksChanged>false</HyperlinksChanged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Alo1234</dc:creator>
  <cp:lastModifiedBy>HP</cp:lastModifiedBy>
  <dcterms:created xsi:type="dcterms:W3CDTF">2022-12-11T12:09:00Z</dcterms:created>
  <dcterms:modified xsi:type="dcterms:W3CDTF">2025-07-08T09:39:55Z</dcterms:modified>
  <cp:keywords>EPPlus noncommercial use</cp:keywords>
  <dc:description>This workbook has been created with EPPlus licensed to Alo1234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