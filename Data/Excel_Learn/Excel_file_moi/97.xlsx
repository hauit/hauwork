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C96B4ED6-1B73-44E9-A854-B0FD3CCA9B9E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Comparison" sheetId="7" r:id="rId2"/>
    <sheet name="Region 1" sheetId="3" r:id="rId3"/>
    <sheet name="Region 2" sheetId="4" r:id="rId4"/>
    <sheet name="Region 3" sheetId="5" r:id="rId5"/>
    <sheet name="Projections" sheetId="6" r:id="rId6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<sst xmlns="http://schemas.openxmlformats.org/spreadsheetml/2006/main" count="20" uniqueCount="20">
  <si>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Northwind Traders</t>
  </si>
  <si>
    <t>Annual Sales Summary</t>
  </si>
  <si>
    <t xml:space="preserve">Product </t>
  </si>
  <si>
    <t>Quarter 1</t>
  </si>
  <si>
    <t>Quarter 2</t>
  </si>
  <si>
    <t>Quarter 3</t>
  </si>
  <si>
    <t>Quarter 4</t>
  </si>
  <si>
    <t>Total Sales</t>
  </si>
  <si>
    <t>Saiboat</t>
  </si>
  <si>
    <t>Speedboat</t>
  </si>
  <si>
    <t>Houseboat</t>
  </si>
  <si>
    <t>Jet Ski</t>
  </si>
  <si>
    <t>Kayak</t>
  </si>
  <si>
    <t>Canoe</t>
  </si>
  <si>
    <t>Fishing boat</t>
  </si>
  <si>
    <t>Yacht</t>
  </si>
  <si>
    <t>Total</t>
  </si>
  <si>
    <t>Highest Sales Amount</t>
  </si>
  <si>
    <t>Lowest Sales Amount</t>
  </si>
  <si>
    <t>Percentage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</si>
</sst>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2"/>
      <color theme="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 tint="0.0499893185216834"/>
      <name val="Calibri"/>
      <family val="2"/>
      <charset val="163"/>
      <scheme val="minor"/>
    </font>
    <font>
      <sz val="14"/>
      <color theme="0"/>
      <name val="Calibri"/>
      <family val="2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23">
    <xf numFmtId="0" fontId="0" fillId="0" borderId="0" xfId="0"/>
    <xf numFmtId="42" applyNumberFormat="1" fontId="0" applyFont="1" fillId="0" borderId="0" xfId="1"/>
    <xf numFmtId="0" fontId="2" applyFont="1" fillId="2" applyFill="1" borderId="0" xfId="0"/>
    <xf numFmtId="0" fontId="3" applyFont="1" fillId="2" applyFill="1" borderId="0" xfId="0"/>
    <xf numFmtId="0" fontId="4" applyFont="1" fillId="2" applyFill="1" borderId="0" xfId="0"/>
    <xf numFmtId="0" fontId="5" applyFont="1" fillId="3" applyFill="1" borderId="1" applyBorder="1" xfId="0"/>
    <xf numFmtId="42" applyNumberFormat="1" fontId="5" applyFont="1" fillId="3" applyFill="1" borderId="2" applyBorder="1" xfId="1"/>
    <xf numFmtId="42" applyNumberFormat="1" fontId="5" applyFont="1" fillId="3" applyFill="1" borderId="3" applyBorder="1" xfId="1"/>
    <xf numFmtId="0" fontId="6" applyFont="1" fillId="3" applyFill="1" borderId="0" xfId="0" applyAlignment="1">
      <alignment horizontal="left" vertical="center"/>
    </xf>
    <xf numFmtId="0" fontId="6" applyFont="1" fillId="3" applyFill="1" borderId="0" xfId="0" applyAlignment="1">
      <alignment horizontal="center" vertical="center"/>
    </xf>
    <xf numFmtId="0" fontId="5" applyFont="1" fillId="3" applyFill="1" borderId="0" xfId="0"/>
    <xf numFmtId="0" fontId="5" applyFont="1" fillId="3" applyFill="1" borderId="4" applyBorder="1" xfId="0"/>
    <xf numFmtId="42" applyNumberFormat="1" fontId="5" applyFont="1" fillId="3" applyFill="1" borderId="5" applyBorder="1" xfId="1"/>
    <xf numFmtId="0" fontId="6" applyFont="1" fillId="3" applyFill="1" borderId="0" xfId="0" applyAlignment="1">
      <alignment vertical="center"/>
    </xf>
    <xf numFmtId="42" applyNumberFormat="1" fontId="0" fillId="0" borderId="0" xfId="0"/>
    <xf numFmtId="42" applyNumberFormat="1" fontId="5" applyFont="1" fillId="3" applyFill="1" borderId="5" applyBorder="1" xfId="0"/>
    <xf numFmtId="42" applyNumberFormat="1" fontId="5" applyFont="1" fillId="3" applyFill="1" borderId="6" applyBorder="1" xfId="0"/>
    <xf numFmtId="42" applyNumberFormat="1" fontId="5" applyFont="1" fillId="3" applyFill="1" borderId="6" applyBorder="1" xfId="1"/>
    <xf numFmtId="9" applyNumberFormat="1" fontId="0" fillId="0" borderId="0" xfId="0"/>
    <xf numFmtId="0" fontId="7" applyFont="1" fillId="4" applyFill="1" borderId="0" xfId="0"/>
    <xf numFmtId="42" applyNumberFormat="1" fontId="0" applyFont="1" fillId="0" borderId="0" applyBorder="1" xfId="1" applyAlignment="1"/>
    <xf numFmtId="42" applyNumberFormat="1" fontId="0" applyFont="1" fillId="0" borderId="0" applyBorder="1" xfId="1"/>
    <xf numFmtId="42" applyNumberFormat="1" fontId="8" applyFont="1" fillId="0" borderId="0" xfId="0"/>
  </cellXfs>
  <cellStyles count="2">
    <cellStyle name="Currency" xfId="1" builtinId="4"/>
    <cellStyle name="Normal" xfId="0" builtinId="0"/>
  </cellStyles>
  <dxfs count="48"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Highest-Selling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Summary!$A$4:$A$11</c:f>
              <c:strCache>
                <c:ptCount val="8"/>
                <c:pt idx="0">
                  <c:v>Saiboat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Summary!$F$4:$F$11</c:f>
              <c:numCache>
                <c:formatCode>_("$"* #,##0_);_("$"* \(#,##0\);_("$"* "-"_);_(@_)</c:formatCode>
                <c:ptCount val="8"/>
                <c:pt idx="0">
                  <c:v>2734500</c:v>
                </c:pt>
                <c:pt idx="1">
                  <c:v>4028400</c:v>
                </c:pt>
                <c:pt idx="2">
                  <c:v>3110000</c:v>
                </c:pt>
                <c:pt idx="3">
                  <c:v>5875000</c:v>
                </c:pt>
                <c:pt idx="4">
                  <c:v>2225000</c:v>
                </c:pt>
                <c:pt idx="5">
                  <c:v>943000</c:v>
                </c:pt>
                <c:pt idx="6">
                  <c:v>25000000</c:v>
                </c:pt>
                <c:pt idx="7">
                  <c:v>80010000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1-4A4B-96E3-E881D45D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056752"/>
        <c:axId val="240057144"/>
      </c:barChart>
      <c:catAx>
        <c:axId val="2400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40057144"/>
        <c:crosses val="autoZero"/>
        <c:auto val="1"/>
        <c:lblAlgn val="ctr"/>
        <c:lblOffset val="100"/>
        <c:noMultiLvlLbl val="0"/>
      </c:catAx>
      <c:valAx>
        <c:axId val="24005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4005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theme="4" tint="-0.499984740745262"/>
  </sheetPr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7413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F25C3-56DE-4539-836E-928D75AD9F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2" headerRowDxfId="47" dataDxfId="13" dataCellStyle="Currency">
  <autoFilter ref="A3:F12" xr:uid="{00000000-0009-0000-0100-000001000000}"/>
  <tableColumns count="6">
    <tableColumn id="1" xr3:uid="{00000000-0010-0000-0000-000001000000}" name="Product " totalsRowLabel="Total"/>
    <tableColumn id="2" xr3:uid="{00000000-0010-0000-0000-000002000000}" name="Quarter 1" dataDxfId="7" totalsRowDxfId="38" dataCellStyle="Currency"/>
    <tableColumn id="3" xr3:uid="{00000000-0010-0000-0000-000003000000}" name="Quarter 2" dataDxfId="7" totalsRowDxfId="38" dataCellStyle="Currency"/>
    <tableColumn id="4" xr3:uid="{00000000-0010-0000-0000-000004000000}" name="Quarter 3" dataDxfId="7" totalsRowDxfId="38" dataCellStyle="Currency"/>
    <tableColumn id="5" xr3:uid="{00000000-0010-0000-0000-000005000000}" name="Quarter 4" dataDxfId="7" totalsRowDxfId="38" dataCellStyle="Currency"/>
    <tableColumn id="6" xr3:uid="{00000000-0010-0000-0000-000006000000}" name="Total Sales" totalsRowFunction="sum" dataDxfId="7" totalsRowDxfId="7" dataCellStyle="Currency">
      <calculatedColumnFormula>SUM(B4:E4)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12" totalsRowCount="1" headerRowDxfId="22" dataDxfId="13" tableBorderDxfId="5" dataCellStyle="Currency">
  <autoFilter ref="A3:F11" xr:uid="{00000000-0009-0000-0100-000002000000}"/>
  <tableColumns count="6">
    <tableColumn id="1" xr3:uid="{00000000-0010-0000-0100-000001000000}" name="Product " totalsRowLabel="Total"/>
    <tableColumn id="2" xr3:uid="{00000000-0010-0000-0100-000002000000}" name="Quarter 1" totalsRowFunction="sum" dataDxfId="7" totalsRowDxfId="7" dataCellStyle="Currency"/>
    <tableColumn id="3" xr3:uid="{00000000-0010-0000-0100-000003000000}" name="Quarter 2" totalsRowFunction="sum" dataDxfId="7" totalsRowDxfId="7" dataCellStyle="Currency"/>
    <tableColumn id="4" xr3:uid="{00000000-0010-0000-0100-000004000000}" name="Quarter 3" totalsRowFunction="sum" dataDxfId="7" totalsRowDxfId="7" dataCellStyle="Currency"/>
    <tableColumn id="5" xr3:uid="{00000000-0010-0000-0100-000005000000}" name="Quarter 4" totalsRowFunction="sum" dataDxfId="7" totalsRowDxfId="7" dataCellStyle="Currency"/>
    <tableColumn id="6" xr3:uid="{00000000-0010-0000-0100-000006000000}" name="Total Sales" totalsRowFunction="sum" dataDxfId="7" totalsRowDxfId="7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F12" totalsRowShown="0" headerRowDxfId="22" dataDxfId="13" tableBorderDxfId="5" dataCellStyle="Currency">
  <autoFilter ref="A3:F12" xr:uid="{00000000-0009-0000-0100-000003000000}"/>
  <tableColumns count="6">
    <tableColumn id="1" xr3:uid="{00000000-0010-0000-0200-000001000000}" name="Product "/>
    <tableColumn id="2" xr3:uid="{00000000-0010-0000-0200-000002000000}" name="Quarter 1" dataDxfId="7" dataCellStyle="Currency"/>
    <tableColumn id="3" xr3:uid="{00000000-0010-0000-0200-000003000000}" name="Quarter 2" dataDxfId="7" dataCellStyle="Currency"/>
    <tableColumn id="4" xr3:uid="{00000000-0010-0000-0200-000004000000}" name="Quarter 3" dataDxfId="7" dataCellStyle="Currency"/>
    <tableColumn id="5" xr3:uid="{00000000-0010-0000-0200-000005000000}" name="Quarter 4" dataDxfId="7" dataCellStyle="Currency"/>
    <tableColumn id="6" xr3:uid="{00000000-0010-0000-0200-000006000000}" name="Total Sales" dataDxfId="7" dataCellStyle="Currenc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F12" totalsRowShown="0" headerRowDxfId="6" dataDxfId="13" tableBorderDxfId="5" dataCellStyle="Currency">
  <autoFilter ref="A3:F12" xr:uid="{00000000-0009-0000-0100-000004000000}"/>
  <tableColumns count="6">
    <tableColumn id="1" xr3:uid="{00000000-0010-0000-0300-000001000000}" name="Product "/>
    <tableColumn id="2" xr3:uid="{00000000-0010-0000-0300-000002000000}" name="Quarter 1" dataDxfId="7" dataCellStyle="Currency"/>
    <tableColumn id="3" xr3:uid="{00000000-0010-0000-0300-000003000000}" name="Quarter 2" dataDxfId="7" dataCellStyle="Currency"/>
    <tableColumn id="4" xr3:uid="{00000000-0010-0000-0300-000004000000}" name="Quarter 3" dataDxfId="7" dataCellStyle="Currency"/>
    <tableColumn id="5" xr3:uid="{00000000-0010-0000-0300-000005000000}" name="Quarter 4" dataDxfId="7" dataCellStyle="Currency"/>
    <tableColumn id="6" xr3:uid="{00000000-0010-0000-0300-000006000000}" name="Total Sales" dataDxfId="7" dataCellStyle="Currenc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F12" totalsRowShown="0" headerRowDxfId="6" tableBorderDxfId="5">
  <autoFilter ref="A3:F12" xr:uid="{00000000-0009-0000-0100-000005000000}"/>
  <tableColumns count="6">
    <tableColumn id="1" xr3:uid="{00000000-0010-0000-0400-000001000000}" name="Product "/>
    <tableColumn id="2" xr3:uid="{00000000-0010-0000-0400-000002000000}" name="Quarter 1" dataDxfId="0"/>
    <tableColumn id="3" xr3:uid="{00000000-0010-0000-0400-000003000000}" name="Quarter 2" dataDxfId="0"/>
    <tableColumn id="4" xr3:uid="{00000000-0010-0000-0400-000004000000}" name="Quarter 3" dataDxfId="0"/>
    <tableColumn id="5" xr3:uid="{00000000-0010-0000-0400-000005000000}" name="Quarter 4" dataDxfId="0"/>
    <tableColumn id="6" xr3:uid="{00000000-0010-0000-0400-000006000000}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F16"/>
  <sheetViews>
    <sheetView tabSelected="1" workbookViewId="0"/>
  </sheetViews>
  <sheetFormatPr defaultRowHeight="15" x14ac:dyDescent="0.25"/>
  <cols>
    <col min="1" max="1" width="20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275000</v>
      </c>
      <c r="C4" s="1">
        <v>690000</v>
      </c>
      <c r="D4" s="1">
        <v>1600000</v>
      </c>
      <c r="E4" s="1">
        <v>169500</v>
      </c>
      <c r="F4" s="1">
        <f>SUM(B4:E4)</f>
        <v>2734500</v>
      </c>
    </row>
    <row r="5">
      <c r="A5" s="0" t="s">
        <v>9</v>
      </c>
      <c r="B5" s="1">
        <v>825000</v>
      </c>
      <c r="C5" s="1">
        <v>1145000</v>
      </c>
      <c r="D5" s="1">
        <v>1870000</v>
      </c>
      <c r="E5" s="1">
        <v>188400</v>
      </c>
      <c r="F5" s="1">
        <f ref="F5:F11" t="shared" si="0">SUM(B5:E5)</f>
        <v>4028400</v>
      </c>
    </row>
    <row r="6">
      <c r="A6" s="0" t="s">
        <v>10</v>
      </c>
      <c r="B6" s="1">
        <v>600000</v>
      </c>
      <c r="C6" s="1">
        <v>875000</v>
      </c>
      <c r="D6" s="1">
        <v>1025000</v>
      </c>
      <c r="E6" s="1">
        <v>610000</v>
      </c>
      <c r="F6" s="1">
        <f t="shared" si="0"/>
        <v>3110000</v>
      </c>
    </row>
    <row r="7">
      <c r="A7" s="0" t="s">
        <v>11</v>
      </c>
      <c r="B7" s="1">
        <v>1150000</v>
      </c>
      <c r="C7" s="1">
        <v>1850000</v>
      </c>
      <c r="D7" s="1">
        <v>2300000</v>
      </c>
      <c r="E7" s="1">
        <v>575000</v>
      </c>
      <c r="F7" s="1">
        <f t="shared" si="0"/>
        <v>5875000</v>
      </c>
    </row>
    <row r="8">
      <c r="A8" s="0" t="s">
        <v>12</v>
      </c>
      <c r="B8" s="1">
        <v>550000</v>
      </c>
      <c r="C8" s="1">
        <v>650000</v>
      </c>
      <c r="D8" s="1">
        <v>525000</v>
      </c>
      <c r="E8" s="1">
        <v>500000</v>
      </c>
      <c r="F8" s="1">
        <f t="shared" si="0"/>
        <v>2225000</v>
      </c>
    </row>
    <row r="9">
      <c r="A9" s="0" t="s">
        <v>13</v>
      </c>
      <c r="B9" s="1">
        <v>200000</v>
      </c>
      <c r="C9" s="1">
        <v>375000</v>
      </c>
      <c r="D9" s="1">
        <v>240500</v>
      </c>
      <c r="E9" s="1">
        <v>127500</v>
      </c>
      <c r="F9" s="1">
        <f t="shared" si="0"/>
        <v>943000</v>
      </c>
    </row>
    <row r="10">
      <c r="A10" s="0" t="s">
        <v>14</v>
      </c>
      <c r="B10" s="1">
        <v>9400000</v>
      </c>
      <c r="C10" s="1">
        <v>7600000</v>
      </c>
      <c r="D10" s="1">
        <v>5700000</v>
      </c>
      <c r="E10" s="1">
        <v>2300000</v>
      </c>
      <c r="F10" s="1">
        <f t="shared" si="0"/>
        <v>25000000</v>
      </c>
    </row>
    <row r="11" ht="15.75">
      <c r="A11" s="0" t="s">
        <v>15</v>
      </c>
      <c r="B11" s="1">
        <v>10000000</v>
      </c>
      <c r="C11" s="1">
        <v>30010000</v>
      </c>
      <c r="D11" s="1">
        <v>30000000</v>
      </c>
      <c r="E11" s="1">
        <v>10000000</v>
      </c>
      <c r="F11" s="1">
        <f t="shared" si="0"/>
        <v>80010000</v>
      </c>
    </row>
    <row r="12" ht="15.75">
      <c r="A12" s="5" t="s">
        <v>16</v>
      </c>
      <c r="B12" s="6">
        <f>SUM(B4:B11)</f>
        <v>23000000</v>
      </c>
      <c r="C12" s="6">
        <f ref="C12:E12" t="shared" si="1">SUM(C4:C11)</f>
        <v>43195000</v>
      </c>
      <c r="D12" s="6">
        <f t="shared" si="1"/>
        <v>43260500</v>
      </c>
      <c r="E12" s="6">
        <f t="shared" si="1"/>
        <v>14470400</v>
      </c>
      <c r="F12" s="7">
        <f>SUM(F4:F11)</f>
        <v>123925900</v>
      </c>
    </row>
    <row r="15">
      <c r="A15" s="10" t="s">
        <v>17</v>
      </c>
      <c r="B15" s="1"/>
    </row>
    <row r="16">
      <c r="A16" s="10" t="s">
        <v>18</v>
      </c>
      <c r="B16" s="1">
        <f>MIN(F4:F12)</f>
        <v>943000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F12"/>
  <sheetViews>
    <sheetView workbookViewId="0">
      <selection activeCell="D7" sqref="D7"/>
    </sheetView>
  </sheetViews>
  <sheetFormatPr defaultRowHeight="15" x14ac:dyDescent="0.25"/>
  <cols>
    <col min="1" max="1" width="16.140625" customWidth="1"/>
    <col min="2" max="5" bestFit="1" width="12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75000</v>
      </c>
      <c r="C4" s="1">
        <v>300000</v>
      </c>
      <c r="D4" s="1">
        <v>850000</v>
      </c>
      <c r="E4" s="1">
        <v>50000</v>
      </c>
      <c r="F4" s="1">
        <f ref="F4:F11" t="shared" si="0">SUM(B4:E4)</f>
        <v>1275000</v>
      </c>
    </row>
    <row r="5">
      <c r="A5" s="0" t="s">
        <v>9</v>
      </c>
      <c r="B5" s="1">
        <v>65000</v>
      </c>
      <c r="C5" s="1">
        <v>500000</v>
      </c>
      <c r="D5" s="1">
        <v>750000</v>
      </c>
      <c r="E5" s="1">
        <v>45900</v>
      </c>
      <c r="F5" s="1">
        <f t="shared" si="0"/>
        <v>1360900</v>
      </c>
    </row>
    <row r="6">
      <c r="A6" s="0" t="s">
        <v>10</v>
      </c>
      <c r="B6" s="1">
        <v>350000</v>
      </c>
      <c r="C6" s="1">
        <v>400000</v>
      </c>
      <c r="D6" s="1">
        <v>350000</v>
      </c>
      <c r="E6" s="1">
        <v>200000</v>
      </c>
      <c r="F6" s="1">
        <f t="shared" si="0"/>
        <v>1300000</v>
      </c>
    </row>
    <row r="7">
      <c r="A7" s="0" t="s">
        <v>11</v>
      </c>
      <c r="B7" s="1">
        <v>250000</v>
      </c>
      <c r="C7" s="1">
        <v>500000</v>
      </c>
      <c r="D7" s="1">
        <v>750000</v>
      </c>
      <c r="E7" s="1">
        <v>150000</v>
      </c>
      <c r="F7" s="1">
        <f t="shared" si="0"/>
        <v>1650000</v>
      </c>
    </row>
    <row r="8">
      <c r="A8" s="0" t="s">
        <v>12</v>
      </c>
      <c r="B8" s="1">
        <v>100000</v>
      </c>
      <c r="C8" s="1">
        <v>200000</v>
      </c>
      <c r="D8" s="1">
        <v>150000</v>
      </c>
      <c r="E8" s="1">
        <v>125000</v>
      </c>
      <c r="F8" s="1">
        <f t="shared" si="0"/>
        <v>575000</v>
      </c>
    </row>
    <row r="9">
      <c r="A9" s="0" t="s">
        <v>13</v>
      </c>
      <c r="B9" s="1">
        <v>75000</v>
      </c>
      <c r="C9" s="1">
        <v>225000</v>
      </c>
      <c r="D9" s="1">
        <v>125000</v>
      </c>
      <c r="E9" s="1">
        <v>65000</v>
      </c>
      <c r="F9" s="1">
        <f t="shared" si="0"/>
        <v>490000</v>
      </c>
    </row>
    <row r="10">
      <c r="A10" s="0" t="s">
        <v>14</v>
      </c>
      <c r="B10" s="1">
        <v>3500000</v>
      </c>
      <c r="C10" s="1">
        <v>2500000</v>
      </c>
      <c r="D10" s="1">
        <v>2500000</v>
      </c>
      <c r="E10" s="1">
        <v>1500000</v>
      </c>
      <c r="F10" s="1">
        <f t="shared" si="0"/>
        <v>10000000</v>
      </c>
    </row>
    <row r="11">
      <c r="A11" s="0" t="s">
        <v>15</v>
      </c>
      <c r="B11" s="20">
        <v>10000000</v>
      </c>
      <c r="C11" s="21">
        <v>20000000</v>
      </c>
      <c r="D11" s="21">
        <v>10000000</v>
      </c>
      <c r="E11" s="21">
        <v>10000000</v>
      </c>
      <c r="F11" s="21">
        <f t="shared" si="0"/>
        <v>50000000</v>
      </c>
    </row>
    <row r="12">
      <c r="A12" s="0" t="s">
        <v>16</v>
      </c>
      <c r="B12" s="22">
        <f>SUBTOTAL(109,Table2[Quarter 1])</f>
        <v>14415000</v>
      </c>
      <c r="C12" s="22">
        <f>SUBTOTAL(109,Table2[Quarter 2])</f>
        <v>24625000</v>
      </c>
      <c r="D12" s="22">
        <f>SUBTOTAL(109,Table2[Quarter 3])</f>
        <v>15475000</v>
      </c>
      <c r="E12" s="22">
        <f>SUBTOTAL(109,Table2[Quarter 4])</f>
        <v>12135900</v>
      </c>
      <c r="F12" s="22">
        <f>SUBTOTAL(109,Table2[Total Sales])</f>
        <v>66650900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F12"/>
  <sheetViews>
    <sheetView workbookViewId="0">
      <selection activeCell="E18" sqref="E18"/>
    </sheetView>
  </sheetViews>
  <sheetFormatPr defaultRowHeight="15" x14ac:dyDescent="0.25"/>
  <cols>
    <col min="1" max="1" width="15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50000</v>
      </c>
      <c r="C4" s="1">
        <v>65000</v>
      </c>
      <c r="D4" s="1">
        <v>100000</v>
      </c>
      <c r="E4" s="1">
        <v>75000</v>
      </c>
      <c r="F4" s="1">
        <f>SUM(B4:E4)</f>
        <v>290000</v>
      </c>
    </row>
    <row r="5">
      <c r="A5" s="0" t="s">
        <v>9</v>
      </c>
      <c r="B5" s="1">
        <v>110000</v>
      </c>
      <c r="C5" s="1">
        <v>220000</v>
      </c>
      <c r="D5" s="1">
        <v>320000</v>
      </c>
      <c r="E5" s="1">
        <v>100000</v>
      </c>
      <c r="F5" s="1">
        <f ref="F5:F11" t="shared" si="0">SUM(B5:E5)</f>
        <v>750000</v>
      </c>
    </row>
    <row r="6">
      <c r="A6" s="0" t="s">
        <v>10</v>
      </c>
      <c r="B6" s="1">
        <v>150000</v>
      </c>
      <c r="C6" s="1">
        <v>225000</v>
      </c>
      <c r="D6" s="1">
        <v>325000</v>
      </c>
      <c r="E6" s="1">
        <v>260000</v>
      </c>
      <c r="F6" s="1">
        <f t="shared" si="0"/>
        <v>960000</v>
      </c>
    </row>
    <row r="7">
      <c r="A7" s="0" t="s">
        <v>11</v>
      </c>
      <c r="B7" s="1">
        <v>400000</v>
      </c>
      <c r="C7" s="1">
        <v>600000</v>
      </c>
      <c r="D7" s="1">
        <v>800000</v>
      </c>
      <c r="E7" s="1">
        <v>225000</v>
      </c>
      <c r="F7" s="1">
        <f t="shared" si="0"/>
        <v>2025000</v>
      </c>
    </row>
    <row r="8">
      <c r="A8" s="0" t="s">
        <v>12</v>
      </c>
      <c r="B8" s="1">
        <v>300000</v>
      </c>
      <c r="C8" s="1">
        <v>225000</v>
      </c>
      <c r="D8" s="1">
        <v>200000</v>
      </c>
      <c r="E8" s="1">
        <v>225000</v>
      </c>
      <c r="F8" s="1">
        <f t="shared" si="0"/>
        <v>950000</v>
      </c>
    </row>
    <row r="9">
      <c r="A9" s="0" t="s">
        <v>13</v>
      </c>
      <c r="B9" s="1">
        <v>50000</v>
      </c>
      <c r="C9" s="1">
        <v>75000</v>
      </c>
      <c r="D9" s="1">
        <v>65500</v>
      </c>
      <c r="E9" s="1">
        <v>22500</v>
      </c>
      <c r="F9" s="1">
        <f t="shared" si="0"/>
        <v>213000</v>
      </c>
    </row>
    <row r="10">
      <c r="A10" s="0" t="s">
        <v>14</v>
      </c>
      <c r="B10" s="1">
        <v>2000000</v>
      </c>
      <c r="C10" s="1">
        <v>3000000</v>
      </c>
      <c r="D10" s="1">
        <v>2000000</v>
      </c>
      <c r="E10" s="1">
        <v>0</v>
      </c>
      <c r="F10" s="1">
        <f t="shared" si="0"/>
        <v>7000000</v>
      </c>
    </row>
    <row r="11" ht="15.75">
      <c r="A11" s="0" t="s">
        <v>15</v>
      </c>
      <c r="B11" s="1">
        <v>0</v>
      </c>
      <c r="C11" s="1">
        <v>10000</v>
      </c>
      <c r="D11" s="1">
        <v>10000000</v>
      </c>
      <c r="E11" s="1">
        <v>0</v>
      </c>
      <c r="F11" s="1">
        <f t="shared" si="0"/>
        <v>10010000</v>
      </c>
    </row>
    <row r="12">
      <c r="A12" s="11" t="s">
        <v>16</v>
      </c>
      <c r="B12" s="15">
        <f>SUM(B4:B11)</f>
        <v>3060000</v>
      </c>
      <c r="C12" s="15">
        <f ref="C12:F12" t="shared" si="1">SUM(C4:C11)</f>
        <v>4420000</v>
      </c>
      <c r="D12" s="15">
        <f t="shared" si="1"/>
        <v>13810500</v>
      </c>
      <c r="E12" s="15">
        <f t="shared" si="1"/>
        <v>907500</v>
      </c>
      <c r="F12" s="16">
        <f t="shared" si="1"/>
        <v>22198000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F12"/>
  <sheetViews>
    <sheetView workbookViewId="0">
      <selection activeCell="B27" sqref="B27:B29"/>
    </sheetView>
  </sheetViews>
  <sheetFormatPr defaultRowHeight="15" x14ac:dyDescent="0.25"/>
  <cols>
    <col min="1" max="1" width="17.7109375" customWidth="1"/>
    <col min="2" max="4" bestFit="1" width="12.140625" customWidth="1"/>
    <col min="5" max="5" bestFit="1" width="11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</row>
    <row r="4">
      <c r="A4" s="0" t="s">
        <v>8</v>
      </c>
      <c r="B4" s="1">
        <v>150000</v>
      </c>
      <c r="C4" s="1">
        <v>325000</v>
      </c>
      <c r="D4" s="1">
        <v>650000</v>
      </c>
      <c r="E4" s="1">
        <v>44500</v>
      </c>
      <c r="F4" s="1">
        <f>SUM(B4:E4)</f>
        <v>1169500</v>
      </c>
    </row>
    <row r="5">
      <c r="A5" s="0" t="s">
        <v>9</v>
      </c>
      <c r="B5" s="1">
        <v>650000</v>
      </c>
      <c r="C5" s="1">
        <v>425000</v>
      </c>
      <c r="D5" s="1">
        <v>800000</v>
      </c>
      <c r="E5" s="1">
        <v>42500</v>
      </c>
      <c r="F5" s="1">
        <f ref="F5:F11" t="shared" si="0">SUM(B5:E5)</f>
        <v>1917500</v>
      </c>
    </row>
    <row r="6">
      <c r="A6" s="0" t="s">
        <v>10</v>
      </c>
      <c r="B6" s="1">
        <v>100000</v>
      </c>
      <c r="C6" s="1">
        <v>250000</v>
      </c>
      <c r="D6" s="1">
        <v>350000</v>
      </c>
      <c r="E6" s="1">
        <v>150000</v>
      </c>
      <c r="F6" s="1">
        <f t="shared" si="0"/>
        <v>850000</v>
      </c>
    </row>
    <row r="7">
      <c r="A7" s="0" t="s">
        <v>11</v>
      </c>
      <c r="B7" s="1">
        <v>500000</v>
      </c>
      <c r="C7" s="1">
        <v>750000</v>
      </c>
      <c r="D7" s="1">
        <v>750000</v>
      </c>
      <c r="E7" s="1">
        <v>200000</v>
      </c>
      <c r="F7" s="1">
        <f t="shared" si="0"/>
        <v>2200000</v>
      </c>
    </row>
    <row r="8">
      <c r="A8" s="0" t="s">
        <v>12</v>
      </c>
      <c r="B8" s="1">
        <v>150000</v>
      </c>
      <c r="C8" s="1">
        <v>225000</v>
      </c>
      <c r="D8" s="1">
        <v>175000</v>
      </c>
      <c r="E8" s="1">
        <v>150000</v>
      </c>
      <c r="F8" s="1">
        <f t="shared" si="0"/>
        <v>700000</v>
      </c>
    </row>
    <row r="9">
      <c r="A9" s="0" t="s">
        <v>13</v>
      </c>
      <c r="B9" s="1">
        <v>75000</v>
      </c>
      <c r="C9" s="1">
        <v>75000</v>
      </c>
      <c r="D9" s="1">
        <v>50000</v>
      </c>
      <c r="E9" s="1">
        <v>40000</v>
      </c>
      <c r="F9" s="1">
        <f t="shared" si="0"/>
        <v>240000</v>
      </c>
    </row>
    <row r="10">
      <c r="A10" s="0" t="s">
        <v>14</v>
      </c>
      <c r="B10" s="1">
        <v>3900000</v>
      </c>
      <c r="C10" s="1">
        <v>2100000</v>
      </c>
      <c r="D10" s="1">
        <v>1200000</v>
      </c>
      <c r="E10" s="1">
        <v>800000</v>
      </c>
      <c r="F10" s="1">
        <f t="shared" si="0"/>
        <v>8000000</v>
      </c>
    </row>
    <row r="11" ht="15.75">
      <c r="A11" s="0" t="s">
        <v>15</v>
      </c>
      <c r="B11" s="1">
        <v>0</v>
      </c>
      <c r="C11" s="1">
        <v>10000000</v>
      </c>
      <c r="D11" s="1">
        <v>10000000</v>
      </c>
      <c r="E11" s="1">
        <v>0</v>
      </c>
      <c r="F11" s="1">
        <f t="shared" si="0"/>
        <v>20000000</v>
      </c>
    </row>
    <row r="12">
      <c r="A12" s="11" t="s">
        <v>16</v>
      </c>
      <c r="B12" s="12">
        <f>SUM(B4:B11)</f>
        <v>5525000</v>
      </c>
      <c r="C12" s="12">
        <f ref="C12:F12" t="shared" si="1">SUM(C4:C11)</f>
        <v>14150000</v>
      </c>
      <c r="D12" s="12">
        <f t="shared" si="1"/>
        <v>13975000</v>
      </c>
      <c r="E12" s="12">
        <f t="shared" si="1"/>
        <v>1427000</v>
      </c>
      <c r="F12" s="17">
        <f t="shared" si="1"/>
        <v>35077000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</sheetPr>
  <dimension ref="A1:F18"/>
  <sheetViews>
    <sheetView workbookViewId="0">
      <selection activeCell="C21" sqref="C21"/>
    </sheetView>
  </sheetViews>
  <sheetFormatPr defaultRowHeight="15" x14ac:dyDescent="0.25"/>
  <cols>
    <col min="1" max="1" width="22.42578125" customWidth="1"/>
    <col min="2" max="2" bestFit="1" width="12.140625" customWidth="1"/>
    <col min="3" max="5" width="10.7109375" customWidth="1"/>
    <col min="6" max="6" bestFit="1" width="12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</row>
    <row r="4">
      <c r="A4" s="0" t="s">
        <v>8</v>
      </c>
      <c r="B4" s="14">
        <v>277750</v>
      </c>
      <c r="C4" s="14"/>
      <c r="D4" s="14"/>
      <c r="E4" s="14"/>
      <c r="F4" s="14">
        <f>SUM(B4:E4)</f>
        <v>277750</v>
      </c>
    </row>
    <row r="5">
      <c r="A5" s="0" t="s">
        <v>9</v>
      </c>
      <c r="B5" s="14">
        <v>833250</v>
      </c>
      <c r="C5" s="14"/>
      <c r="D5" s="14"/>
      <c r="E5" s="14"/>
      <c r="F5" s="14">
        <f ref="F5:F11" t="shared" si="0">SUM(B5:E5)</f>
        <v>833250</v>
      </c>
    </row>
    <row r="6">
      <c r="A6" s="0" t="s">
        <v>10</v>
      </c>
      <c r="B6" s="14">
        <v>606000</v>
      </c>
      <c r="C6" s="14"/>
      <c r="D6" s="14"/>
      <c r="E6" s="14"/>
      <c r="F6" s="14">
        <f t="shared" si="0"/>
        <v>606000</v>
      </c>
    </row>
    <row r="7">
      <c r="A7" s="0" t="s">
        <v>11</v>
      </c>
      <c r="B7" s="14">
        <v>1161500</v>
      </c>
      <c r="C7" s="14"/>
      <c r="D7" s="14"/>
      <c r="E7" s="14"/>
      <c r="F7" s="14">
        <f t="shared" si="0"/>
        <v>1161500</v>
      </c>
    </row>
    <row r="8">
      <c r="A8" s="0" t="s">
        <v>12</v>
      </c>
      <c r="B8" s="14">
        <v>555500</v>
      </c>
      <c r="C8" s="14"/>
      <c r="D8" s="14"/>
      <c r="E8" s="14"/>
      <c r="F8" s="14">
        <f t="shared" si="0"/>
        <v>555500</v>
      </c>
    </row>
    <row r="9">
      <c r="A9" s="0" t="s">
        <v>13</v>
      </c>
      <c r="B9" s="14">
        <v>202000</v>
      </c>
      <c r="C9" s="14"/>
      <c r="D9" s="14"/>
      <c r="E9" s="14"/>
      <c r="F9" s="14">
        <f t="shared" si="0"/>
        <v>202000</v>
      </c>
    </row>
    <row r="10">
      <c r="A10" s="0" t="s">
        <v>14</v>
      </c>
      <c r="B10" s="14">
        <v>9494000</v>
      </c>
      <c r="C10" s="14"/>
      <c r="D10" s="14"/>
      <c r="E10" s="14"/>
      <c r="F10" s="14">
        <f t="shared" si="0"/>
        <v>9494000</v>
      </c>
    </row>
    <row r="11" ht="15.75">
      <c r="A11" s="0" t="s">
        <v>15</v>
      </c>
      <c r="B11" s="14">
        <v>10200000</v>
      </c>
      <c r="C11" s="14"/>
      <c r="D11" s="14"/>
      <c r="E11" s="14"/>
      <c r="F11" s="14">
        <f t="shared" si="0"/>
        <v>10200000</v>
      </c>
    </row>
    <row r="12">
      <c r="A12" s="11" t="s">
        <v>16</v>
      </c>
      <c r="B12" s="15">
        <f>SUM(B4:B11)</f>
        <v>23330000</v>
      </c>
      <c r="C12" s="15">
        <f ref="C12:F12" t="shared" si="1">SUM(C4:C11)</f>
        <v>0</v>
      </c>
      <c r="D12" s="15">
        <f t="shared" si="1"/>
        <v>0</v>
      </c>
      <c r="E12" s="15">
        <f t="shared" si="1"/>
        <v>0</v>
      </c>
      <c r="F12" s="16">
        <f t="shared" si="1"/>
        <v>23330000</v>
      </c>
    </row>
    <row r="14" ht="18.75">
      <c r="A14" s="19" t="s">
        <v>19</v>
      </c>
      <c r="B14" s="19"/>
    </row>
    <row r="15">
      <c r="A15" s="0" t="s">
        <v>3</v>
      </c>
      <c r="B15" s="18">
        <v>1.01</v>
      </c>
    </row>
    <row r="16">
      <c r="A16" s="0" t="s">
        <v>4</v>
      </c>
      <c r="B16" s="18">
        <v>1.03</v>
      </c>
    </row>
    <row r="17">
      <c r="A17" s="0" t="s">
        <v>5</v>
      </c>
      <c r="B17" s="18">
        <v>1.02</v>
      </c>
    </row>
    <row r="18">
      <c r="A18" s="0" t="s">
        <v>6</v>
      </c>
      <c r="B18" s="18">
        <v>1.01</v>
      </c>
    </row>
  </sheetData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Summary</vt:lpstr>
      <vt:lpstr>Region 1</vt:lpstr>
      <vt:lpstr>Region 2</vt:lpstr>
      <vt:lpstr>Region 3</vt:lpstr>
      <vt:lpstr>Projections</vt:lpstr>
      <vt:lpstr>Comparison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2025-07-08T09:42:55Z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