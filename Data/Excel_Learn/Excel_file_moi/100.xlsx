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EB20C563-55CB-40E7-922C-822EF00CE273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Sales" sheetId="2" r:id="rId2"/>
    <sheet name="Authors" sheetId="3" r:id="rId3"/>
    <sheet name="Historical Sales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<sst xmlns="http://schemas.openxmlformats.org/spreadsheetml/2006/main" count="106" uniqueCount="106">
  <si>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NOD Publishers</t>
  </si>
  <si>
    <t>nodpublishers.com</t>
  </si>
  <si>
    <t>Annual Sales Summary</t>
  </si>
  <si>
    <t>Country or Region</t>
  </si>
  <si>
    <t>Last Year</t>
  </si>
  <si>
    <t>Current Year</t>
  </si>
  <si>
    <t>United Kingdom</t>
  </si>
  <si>
    <t>France</t>
  </si>
  <si>
    <t>China</t>
  </si>
  <si>
    <t>Germany</t>
  </si>
  <si>
    <t>Australia</t>
  </si>
  <si>
    <t>Italy</t>
  </si>
  <si>
    <t>Spain</t>
  </si>
  <si>
    <t>Bookstore</t>
  </si>
  <si>
    <t>Store Number</t>
  </si>
  <si>
    <t>City</t>
  </si>
  <si>
    <t>City Code</t>
  </si>
  <si>
    <t>Last Year - Sales</t>
  </si>
  <si>
    <t>This Year - Sales</t>
  </si>
  <si>
    <t>Difference</t>
  </si>
  <si>
    <t>Forecast</t>
  </si>
  <si>
    <t>Store ID</t>
  </si>
  <si>
    <t>Litware</t>
  </si>
  <si>
    <t>lit-001</t>
  </si>
  <si>
    <t>London</t>
  </si>
  <si>
    <t>lit-002</t>
  </si>
  <si>
    <t>lit-003</t>
  </si>
  <si>
    <t>lit-004</t>
  </si>
  <si>
    <t>Proseware</t>
  </si>
  <si>
    <t>pro-001</t>
  </si>
  <si>
    <t>Paris</t>
  </si>
  <si>
    <t>pro-002</t>
  </si>
  <si>
    <t>Contoso</t>
  </si>
  <si>
    <t>con-001</t>
  </si>
  <si>
    <t>Shanghai</t>
  </si>
  <si>
    <t>con-002</t>
  </si>
  <si>
    <t>con-003</t>
  </si>
  <si>
    <t>Fabrikam</t>
  </si>
  <si>
    <t>fab-001</t>
  </si>
  <si>
    <t>Berlin</t>
  </si>
  <si>
    <t>fab-002</t>
  </si>
  <si>
    <t>fab-003</t>
  </si>
  <si>
    <t>Bellows</t>
  </si>
  <si>
    <t>bel-001</t>
  </si>
  <si>
    <t>Sydney</t>
  </si>
  <si>
    <t>bel-002</t>
  </si>
  <si>
    <t>bel-003</t>
  </si>
  <si>
    <t>Relecloud</t>
  </si>
  <si>
    <t>rel-001</t>
  </si>
  <si>
    <t>Rome</t>
  </si>
  <si>
    <t>Lucerne</t>
  </si>
  <si>
    <t>luc-001</t>
  </si>
  <si>
    <t>Madrid</t>
  </si>
  <si>
    <t>luc-002</t>
  </si>
  <si>
    <t>luc-003</t>
  </si>
  <si>
    <t xml:space="preserve">Author </t>
  </si>
  <si>
    <t>Genre</t>
  </si>
  <si>
    <t>Books Sold</t>
  </si>
  <si>
    <t>Bonus</t>
  </si>
  <si>
    <t>Achong, Gustavo</t>
  </si>
  <si>
    <t>Horror</t>
  </si>
  <si>
    <t>Albrecht, Brian T.</t>
  </si>
  <si>
    <t>Crime</t>
  </si>
  <si>
    <t>Bento, Nuno</t>
  </si>
  <si>
    <t>Historic</t>
  </si>
  <si>
    <t>Brown. Jo</t>
  </si>
  <si>
    <t>Cao, Jun</t>
  </si>
  <si>
    <t>Thriller</t>
  </si>
  <si>
    <t>Carbonati, Cyril</t>
  </si>
  <si>
    <t>D'Hers, Thierry</t>
  </si>
  <si>
    <t>Non-Fiction</t>
  </si>
  <si>
    <t>Danner, Ryan</t>
  </si>
  <si>
    <t>Desai, Prashanth</t>
  </si>
  <si>
    <t>Evans, Join</t>
  </si>
  <si>
    <t>Romance</t>
  </si>
  <si>
    <t>Eyink, Scott</t>
  </si>
  <si>
    <t>Fitzmaurice, Mike</t>
  </si>
  <si>
    <t>Sci-Fi</t>
  </si>
  <si>
    <t>Grachev, Nikolay</t>
  </si>
  <si>
    <t>Hendergart, James</t>
  </si>
  <si>
    <t>Henningsen, Jay</t>
  </si>
  <si>
    <t>Iallo, Licio</t>
  </si>
  <si>
    <t>Ihrig, Ryan</t>
  </si>
  <si>
    <t>Ingle, Marc J.</t>
  </si>
  <si>
    <t>Johnson, David</t>
  </si>
  <si>
    <t>Krapauskas, Mindaugas</t>
  </si>
  <si>
    <t>Kurijan, Eric S.</t>
  </si>
  <si>
    <t>Lang, Eric</t>
  </si>
  <si>
    <t>Lannin, Adrian</t>
  </si>
  <si>
    <t>Moseley, Julia</t>
  </si>
  <si>
    <t>Reeves, Randy</t>
  </si>
  <si>
    <t>Drama</t>
  </si>
  <si>
    <t>Rienstra, Martin</t>
  </si>
  <si>
    <t>Sheperdigian, Janet</t>
  </si>
  <si>
    <t>Thorpe, Steven</t>
  </si>
  <si>
    <t>Usman, Rubina</t>
  </si>
  <si>
    <t>Van Eaton, James</t>
  </si>
  <si>
    <t>Wright, Keven</t>
  </si>
  <si>
    <t>Wright, Steven M.</t>
  </si>
  <si>
    <t>Yalovsky, David</t>
  </si>
  <si>
    <t>Yee, Tai</t>
  </si>
  <si>
    <t>Yvkoff, Greg</t>
  </si>
  <si>
    <t>Zak, Richard</t>
  </si>
  <si>
    <t xml:space="preserve">City </t>
  </si>
  <si>
    <t>Year 1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</si>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</sst>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2" tint="-0.499984740745262"/>
      <name val="Calibri"/>
      <family val="2"/>
      <scheme val="minor"/>
    </font>
    <font>
      <b/>
      <sz val="12"/>
      <color theme="8" tint="-0.499984740745262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5">
    <xf numFmtId="0" fontId="0" fillId="0" borderId="0" xfId="0"/>
    <xf numFmtId="0" fontId="2" applyFont="1" fillId="0" borderId="0" xfId="0"/>
    <xf numFmtId="42" applyNumberFormat="1" fontId="0" applyFont="1" fillId="0" borderId="0" xfId="1"/>
    <xf numFmtId="3" applyNumberFormat="1" fontId="0" fillId="0" borderId="0" xfId="0"/>
    <xf numFmtId="0" fontId="3" applyFont="1" fillId="0" borderId="0" xfId="0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3" formatCode="#,##0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 Year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0.18026246719160105"/>
          <c:y val="0.13935185185185187"/>
          <c:w val="0.7752930883639545"/>
          <c:h val="0.57600211431904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Summary!$A$6:$A$12</c:f>
              <c:strCache>
                <c:ptCount val="7"/>
                <c:pt idx="0">
                  <c:v>United Kingdom</c:v>
                </c:pt>
                <c:pt idx="1">
                  <c:v>France</c:v>
                </c:pt>
                <c:pt idx="2">
                  <c:v>China</c:v>
                </c:pt>
                <c:pt idx="3">
                  <c:v>Germany</c:v>
                </c:pt>
                <c:pt idx="4">
                  <c:v>Australia</c:v>
                </c:pt>
                <c:pt idx="5">
                  <c:v>Italy</c:v>
                </c:pt>
                <c:pt idx="6">
                  <c:v>Spain</c:v>
                </c:pt>
              </c:strCache>
            </c:strRef>
          </c:cat>
          <c:val>
            <c:numRef>
              <c:f>Summary!$B$6:$B$12</c:f>
              <c:numCache>
                <c:formatCode>_("$"* #,##0_);_("$"* \(#,##0\);_("$"* "-"_);_(@_)</c:formatCode>
                <c:ptCount val="7"/>
                <c:pt idx="0">
                  <c:v>10562525</c:v>
                </c:pt>
                <c:pt idx="1">
                  <c:v>6335752</c:v>
                </c:pt>
                <c:pt idx="2">
                  <c:v>8992570</c:v>
                </c:pt>
                <c:pt idx="3">
                  <c:v>8987835</c:v>
                </c:pt>
                <c:pt idx="4">
                  <c:v>9520485</c:v>
                </c:pt>
                <c:pt idx="5">
                  <c:v>3348134</c:v>
                </c:pt>
                <c:pt idx="6">
                  <c:v>9426070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B-40D8-A4F6-F29164FCB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03960"/>
        <c:axId val="202841808"/>
      </c:barChart>
      <c:catAx>
        <c:axId val="203303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841808"/>
        <c:crosses val="autoZero"/>
        <c:auto val="1"/>
        <c:lblAlgn val="ctr"/>
        <c:lblOffset val="100"/>
        <c:noMultiLvlLbl val="0"/>
      </c:catAx>
      <c:valAx>
        <c:axId val="202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33039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377190</xdr:colOff>
      <xdr:row>0</xdr:row>
      <xdr:rowOff>152400</xdr:rowOff>
    </xdr:from>
    <xdr:to>
      <xdr:col>12</xdr:col>
      <xdr:colOff>144780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C7D4B-D1DD-4505-A128-30A5244C8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175260</xdr:colOff>
      <xdr:row>30</xdr:row>
      <xdr:rowOff>160020</xdr:rowOff>
    </xdr:from>
    <xdr:to>
      <xdr:col>11</xdr:col>
      <xdr:colOff>361950</xdr:colOff>
      <xdr:row>42</xdr:row>
      <xdr:rowOff>99243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" y="5417820"/>
          <a:ext cx="4884806" cy="20423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C12" totalsRowShown="0">
  <autoFilter ref="A5:C12" xr:uid="{00000000-0009-0000-0100-000001000000}"/>
  <tableColumns count="3">
    <tableColumn id="1" xr3:uid="{00000000-0010-0000-0000-000001000000}" name="Country or Region"/>
    <tableColumn id="2" xr3:uid="{00000000-0010-0000-0000-000002000000}" name="Last Year" dataDxfId="5" dataCellStyle="Currency"/>
    <tableColumn id="3" xr3:uid="{00000000-0010-0000-0000-000003000000}" name="Current Year" dataDxfId="5" dataCellStyle="Currency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J20" totalsRowShown="0">
  <autoFilter ref="A1:J20" xr:uid="{00000000-0009-0000-0100-000002000000}"/>
  <tableColumns count="10">
    <tableColumn id="1" xr3:uid="{00000000-0010-0000-0100-000001000000}" name="Bookstore"/>
    <tableColumn id="2" xr3:uid="{00000000-0010-0000-0100-000002000000}" name="Store Number"/>
    <tableColumn id="3" xr3:uid="{00000000-0010-0000-0100-000003000000}" name="Country or Region"/>
    <tableColumn id="4" xr3:uid="{00000000-0010-0000-0100-000004000000}" name="City"/>
    <tableColumn id="5" xr3:uid="{00000000-0010-0000-0100-000005000000}" name="City Code">
      <calculatedColumnFormula>LEFT(Table2[[#This Row],[City]],3)</calculatedColumnFormula>
    </tableColumn>
    <tableColumn id="6" xr3:uid="{00000000-0010-0000-0100-000006000000}" name="Last Year - Sales" dataDxfId="5" dataCellStyle="Currency"/>
    <tableColumn id="7" xr3:uid="{00000000-0010-0000-0100-000007000000}" name="This Year - Sales" dataDxfId="5" dataCellStyle="Currency"/>
    <tableColumn id="8" xr3:uid="{00000000-0010-0000-0100-000008000000}" name="Difference" dataDxfId="5" dataCellStyle="Currency">
      <calculatedColumnFormula>Table2[[#This Row],[This Year - Sales]]-Table2[[#This Row],[Last Year - Sales]]</calculatedColumnFormula>
    </tableColumn>
    <tableColumn id="9" xr3:uid="{00000000-0010-0000-0100-000009000000}" name="Forecast" dataDxfId="5" dataCellStyle="Currency"/>
    <tableColumn id="10" xr3:uid="{00000000-0010-0000-0100-00000A000000}" name="Store I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37" totalsRowShown="0">
  <autoFilter ref="A1:D37" xr:uid="{00000000-0009-0000-0100-000003000000}"/>
  <tableColumns count="4">
    <tableColumn id="1" xr3:uid="{00000000-0010-0000-0200-000001000000}" name="Author "/>
    <tableColumn id="2" xr3:uid="{00000000-0010-0000-0200-000002000000}" name="Genre"/>
    <tableColumn id="3" xr3:uid="{00000000-0010-0000-0200-000003000000}" name="Books Sold" dataDxfId="4"/>
    <tableColumn id="4" xr3:uid="{00000000-0010-0000-0200-000004000000}" name="Bonu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20" totalsRowShown="0" dataDxfId="3" dataCellStyle="Currency">
  <autoFilter ref="A1:F20" xr:uid="{00000000-0009-0000-0100-000004000000}"/>
  <tableColumns count="6">
    <tableColumn id="1" xr3:uid="{00000000-0010-0000-0300-000001000000}" name="Bookstore"/>
    <tableColumn id="2" xr3:uid="{00000000-0010-0000-0300-000002000000}" name="Country or Region"/>
    <tableColumn id="3" xr3:uid="{00000000-0010-0000-0300-000003000000}" name="City "/>
    <tableColumn id="4" xr3:uid="{00000000-0010-0000-0300-000004000000}" name="Year 1" dataDxfId="0" dataCellStyle="Currency"/>
    <tableColumn id="5" xr3:uid="{00000000-0010-0000-0300-000005000000}" name="Year 2" dataDxfId="0" dataCellStyle="Currency"/>
    <tableColumn id="6" xr3:uid="{00000000-0010-0000-0300-000006000000}" name="Difference" dataDxfId="0" dataCellStyle="Currency">
      <calculatedColumnFormula>E2-D2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 x14ac:dyDescent="0.25"/>
  <cols>
    <col min="1" max="1" bestFit="1" width="20.7109375" customWidth="1"/>
    <col min="2" max="2" bestFit="1" width="14.7109375" customWidth="1"/>
    <col min="3" max="3" width="14.42578125" customWidth="1"/>
  </cols>
  <sheetData>
    <row r="1" ht="21">
      <c r="A1" s="1" t="s">
        <v>0</v>
      </c>
    </row>
    <row r="2">
      <c r="A2" s="0" t="s">
        <v>1</v>
      </c>
    </row>
    <row r="4" ht="15.75">
      <c r="A4" s="4" t="s">
        <v>2</v>
      </c>
      <c r="B4" s="4"/>
    </row>
    <row r="5">
      <c r="A5" s="0" t="s">
        <v>3</v>
      </c>
      <c r="B5" s="0" t="s">
        <v>4</v>
      </c>
      <c r="C5" s="0" t="s">
        <v>5</v>
      </c>
    </row>
    <row r="6">
      <c r="A6" s="0" t="s">
        <v>6</v>
      </c>
      <c r="B6" s="2">
        <v>10562525</v>
      </c>
      <c r="C6" s="2">
        <v>12321994</v>
      </c>
    </row>
    <row r="7">
      <c r="A7" s="0" t="s">
        <v>7</v>
      </c>
      <c r="B7" s="2">
        <v>6335752</v>
      </c>
      <c r="C7" s="2">
        <v>4983672</v>
      </c>
    </row>
    <row r="8">
      <c r="A8" s="0" t="s">
        <v>8</v>
      </c>
      <c r="B8" s="2">
        <v>8992570</v>
      </c>
      <c r="C8" s="2">
        <v>6851693</v>
      </c>
    </row>
    <row r="9">
      <c r="A9" s="0" t="s">
        <v>9</v>
      </c>
      <c r="B9" s="2">
        <v>8987835</v>
      </c>
      <c r="C9" s="2">
        <v>8551102</v>
      </c>
    </row>
    <row r="10">
      <c r="A10" s="0" t="s">
        <v>10</v>
      </c>
      <c r="B10" s="2">
        <v>9520485</v>
      </c>
      <c r="C10" s="2">
        <v>10093539</v>
      </c>
    </row>
    <row r="11">
      <c r="A11" s="0" t="s">
        <v>11</v>
      </c>
      <c r="B11" s="2">
        <v>3348134</v>
      </c>
      <c r="C11" s="2">
        <v>3581635</v>
      </c>
    </row>
    <row r="12">
      <c r="A12" s="0" t="s">
        <v>12</v>
      </c>
      <c r="B12" s="2">
        <v>9426070</v>
      </c>
      <c r="C12" s="2">
        <v>8772250</v>
      </c>
    </row>
  </sheetData>
  <mergeCells>
    <mergeCell ref="A4:B4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I21" sqref="I21"/>
    </sheetView>
  </sheetViews>
  <sheetFormatPr defaultRowHeight="15" x14ac:dyDescent="0.25"/>
  <cols>
    <col min="1" max="1" width="11.5703125" customWidth="1"/>
    <col min="2" max="2" width="14.7109375" customWidth="1"/>
    <col min="3" max="3" width="18.5703125" customWidth="1"/>
    <col min="5" max="5" width="11.28515625" customWidth="1"/>
    <col min="6" max="7" width="17.28515625" customWidth="1"/>
    <col min="8" max="8" bestFit="1" width="12" customWidth="1"/>
    <col min="9" max="9" bestFit="1" width="11.140625" customWidth="1"/>
    <col min="10" max="10" width="9.5703125" customWidth="1"/>
  </cols>
  <sheetData>
    <row r="1">
      <c r="A1" s="0" t="s">
        <v>13</v>
      </c>
      <c r="B1" s="0" t="s">
        <v>14</v>
      </c>
      <c r="C1" s="0" t="s">
        <v>3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</row>
    <row r="2">
      <c r="A2" s="0" t="s">
        <v>22</v>
      </c>
      <c r="B2" s="0" t="s">
        <v>23</v>
      </c>
      <c r="C2" s="0" t="s">
        <v>6</v>
      </c>
      <c r="D2" s="0" t="s">
        <v>24</v>
      </c>
      <c r="E2" s="0" t="str">
        <f>LEFT(Table2[[#This Row],[City]],3)</f>
        <v>Lon</v>
      </c>
      <c r="F2" s="2">
        <v>3608151</v>
      </c>
      <c r="G2" s="2">
        <v>3582084</v>
      </c>
      <c r="H2" s="2">
        <f>Table2[[#This Row],[This Year - Sales]]-Table2[[#This Row],[Last Year - Sales]]</f>
        <v>-26067</v>
      </c>
      <c r="I2" s="2">
        <v>3761188</v>
      </c>
    </row>
    <row r="3">
      <c r="A3" s="0" t="s">
        <v>22</v>
      </c>
      <c r="B3" s="0" t="s">
        <v>25</v>
      </c>
      <c r="C3" s="0" t="s">
        <v>6</v>
      </c>
      <c r="D3" s="0" t="s">
        <v>24</v>
      </c>
      <c r="E3" s="0" t="str">
        <f>LEFT(Table2[[#This Row],[City]],3)</f>
        <v>Lon</v>
      </c>
      <c r="F3" s="2">
        <v>2139830</v>
      </c>
      <c r="G3" s="2">
        <v>2872246</v>
      </c>
      <c r="H3" s="2">
        <f>Table2[[#This Row],[This Year - Sales]]-Table2[[#This Row],[Last Year - Sales]]</f>
        <v>732416</v>
      </c>
      <c r="I3" s="2">
        <v>3015858</v>
      </c>
    </row>
    <row r="4">
      <c r="A4" s="0" t="s">
        <v>22</v>
      </c>
      <c r="B4" s="0" t="s">
        <v>26</v>
      </c>
      <c r="C4" s="0" t="s">
        <v>6</v>
      </c>
      <c r="D4" s="0" t="s">
        <v>24</v>
      </c>
      <c r="E4" s="0" t="str">
        <f>LEFT(Table2[[#This Row],[City]],3)</f>
        <v>Lon</v>
      </c>
      <c r="F4" s="2">
        <v>2424656</v>
      </c>
      <c r="G4" s="2">
        <v>3336659</v>
      </c>
      <c r="H4" s="2">
        <f>Table2[[#This Row],[This Year - Sales]]-Table2[[#This Row],[Last Year - Sales]]</f>
        <v>912003</v>
      </c>
      <c r="I4" s="2">
        <v>3503492</v>
      </c>
    </row>
    <row r="5">
      <c r="A5" s="0" t="s">
        <v>22</v>
      </c>
      <c r="B5" s="0" t="s">
        <v>27</v>
      </c>
      <c r="C5" s="0" t="s">
        <v>6</v>
      </c>
      <c r="D5" s="0" t="s">
        <v>24</v>
      </c>
      <c r="E5" s="0" t="str">
        <f>LEFT(Table2[[#This Row],[City]],3)</f>
        <v>Lon</v>
      </c>
      <c r="F5" s="2">
        <v>2389888</v>
      </c>
      <c r="G5" s="2">
        <v>2531005</v>
      </c>
      <c r="H5" s="2">
        <f>Table2[[#This Row],[This Year - Sales]]-Table2[[#This Row],[Last Year - Sales]]</f>
        <v>141117</v>
      </c>
      <c r="I5" s="2">
        <v>2657555</v>
      </c>
    </row>
    <row r="6">
      <c r="A6" s="0" t="s">
        <v>28</v>
      </c>
      <c r="B6" s="0" t="s">
        <v>29</v>
      </c>
      <c r="C6" s="0" t="s">
        <v>7</v>
      </c>
      <c r="D6" s="0" t="s">
        <v>30</v>
      </c>
      <c r="E6" s="0" t="str">
        <f>LEFT(Table2[[#This Row],[City]],3)</f>
        <v>Par</v>
      </c>
      <c r="F6" s="2">
        <v>3555275</v>
      </c>
      <c r="G6" s="2">
        <v>2070881</v>
      </c>
      <c r="H6" s="2">
        <f>Table2[[#This Row],[This Year - Sales]]-Table2[[#This Row],[Last Year - Sales]]</f>
        <v>-1484394</v>
      </c>
      <c r="I6" s="2">
        <v>2174425</v>
      </c>
    </row>
    <row r="7">
      <c r="A7" s="0" t="s">
        <v>28</v>
      </c>
      <c r="B7" s="0" t="s">
        <v>31</v>
      </c>
      <c r="C7" s="0" t="s">
        <v>7</v>
      </c>
      <c r="D7" s="0" t="s">
        <v>30</v>
      </c>
      <c r="E7" s="0" t="str">
        <f>LEFT(Table2[[#This Row],[City]],3)</f>
        <v>Par</v>
      </c>
      <c r="F7" s="2">
        <v>2780477</v>
      </c>
      <c r="G7" s="2">
        <v>2912791</v>
      </c>
      <c r="H7" s="2">
        <f>Table2[[#This Row],[This Year - Sales]]-Table2[[#This Row],[Last Year - Sales]]</f>
        <v>132314</v>
      </c>
      <c r="I7" s="2">
        <v>3058431</v>
      </c>
    </row>
    <row r="8">
      <c r="A8" s="0" t="s">
        <v>32</v>
      </c>
      <c r="B8" s="0" t="s">
        <v>33</v>
      </c>
      <c r="C8" s="0" t="s">
        <v>8</v>
      </c>
      <c r="D8" s="0" t="s">
        <v>34</v>
      </c>
      <c r="E8" s="0" t="str">
        <f>LEFT(Table2[[#This Row],[City]],3)</f>
        <v>Sha</v>
      </c>
      <c r="F8" s="2">
        <v>2985817</v>
      </c>
      <c r="G8" s="2">
        <v>2692489</v>
      </c>
      <c r="H8" s="2">
        <f>Table2[[#This Row],[This Year - Sales]]-Table2[[#This Row],[Last Year - Sales]]</f>
        <v>-293328</v>
      </c>
      <c r="I8" s="2">
        <v>2816613</v>
      </c>
    </row>
    <row r="9">
      <c r="A9" s="0" t="s">
        <v>32</v>
      </c>
      <c r="B9" s="0" t="s">
        <v>35</v>
      </c>
      <c r="C9" s="0" t="s">
        <v>8</v>
      </c>
      <c r="D9" s="0" t="s">
        <v>34</v>
      </c>
      <c r="E9" s="0" t="str">
        <f>LEFT(Table2[[#This Row],[City]],3)</f>
        <v>Sha</v>
      </c>
      <c r="F9" s="2">
        <v>2867032</v>
      </c>
      <c r="G9" s="2">
        <v>2008626</v>
      </c>
      <c r="H9" s="2">
        <f>Table2[[#This Row],[This Year - Sales]]-Table2[[#This Row],[Last Year - Sales]]</f>
        <v>-858406</v>
      </c>
      <c r="I9" s="2">
        <v>2109057</v>
      </c>
    </row>
    <row r="10">
      <c r="A10" s="0" t="s">
        <v>32</v>
      </c>
      <c r="B10" s="0" t="s">
        <v>36</v>
      </c>
      <c r="C10" s="0" t="s">
        <v>8</v>
      </c>
      <c r="D10" s="0" t="s">
        <v>34</v>
      </c>
      <c r="E10" s="0" t="str">
        <f>LEFT(Table2[[#This Row],[City]],3)</f>
        <v>Sha</v>
      </c>
      <c r="F10" s="2">
        <v>3139721</v>
      </c>
      <c r="G10" s="2">
        <v>2160578</v>
      </c>
      <c r="H10" s="2">
        <f>Table2[[#This Row],[This Year - Sales]]-Table2[[#This Row],[Last Year - Sales]]</f>
        <v>-979143</v>
      </c>
      <c r="I10" s="2">
        <v>2268607</v>
      </c>
    </row>
    <row r="11">
      <c r="A11" s="0" t="s">
        <v>37</v>
      </c>
      <c r="B11" s="0" t="s">
        <v>38</v>
      </c>
      <c r="C11" s="0" t="s">
        <v>9</v>
      </c>
      <c r="D11" s="0" t="s">
        <v>39</v>
      </c>
      <c r="E11" s="0" t="str">
        <f>LEFT(Table2[[#This Row],[City]],3)</f>
        <v>Ber</v>
      </c>
      <c r="F11" s="2">
        <v>3288489</v>
      </c>
      <c r="G11" s="2">
        <v>2372983</v>
      </c>
      <c r="H11" s="2">
        <f>Table2[[#This Row],[This Year - Sales]]-Table2[[#This Row],[Last Year - Sales]]</f>
        <v>-915506</v>
      </c>
      <c r="I11" s="2">
        <v>2491632</v>
      </c>
    </row>
    <row r="12">
      <c r="A12" s="0" t="s">
        <v>37</v>
      </c>
      <c r="B12" s="0" t="s">
        <v>40</v>
      </c>
      <c r="C12" s="0" t="s">
        <v>9</v>
      </c>
      <c r="D12" s="0" t="s">
        <v>39</v>
      </c>
      <c r="E12" s="0" t="str">
        <f>LEFT(Table2[[#This Row],[City]],3)</f>
        <v>Ber</v>
      </c>
      <c r="F12" s="2">
        <v>3089641</v>
      </c>
      <c r="G12" s="2">
        <v>3372304</v>
      </c>
      <c r="H12" s="2">
        <f>Table2[[#This Row],[This Year - Sales]]-Table2[[#This Row],[Last Year - Sales]]</f>
        <v>282663</v>
      </c>
      <c r="I12" s="2">
        <v>3540919</v>
      </c>
    </row>
    <row r="13">
      <c r="A13" s="0" t="s">
        <v>37</v>
      </c>
      <c r="B13" s="0" t="s">
        <v>41</v>
      </c>
      <c r="C13" s="0" t="s">
        <v>9</v>
      </c>
      <c r="D13" s="0" t="s">
        <v>39</v>
      </c>
      <c r="E13" s="0" t="str">
        <f>LEFT(Table2[[#This Row],[City]],3)</f>
        <v>Ber</v>
      </c>
      <c r="F13" s="2">
        <v>2509705</v>
      </c>
      <c r="G13" s="2">
        <v>2805815</v>
      </c>
      <c r="H13" s="2">
        <f>Table2[[#This Row],[This Year - Sales]]-Table2[[#This Row],[Last Year - Sales]]</f>
        <v>296110</v>
      </c>
      <c r="I13" s="2">
        <v>2946106</v>
      </c>
    </row>
    <row r="14">
      <c r="A14" s="0" t="s">
        <v>42</v>
      </c>
      <c r="B14" s="0" t="s">
        <v>43</v>
      </c>
      <c r="C14" s="0" t="s">
        <v>10</v>
      </c>
      <c r="D14" s="0" t="s">
        <v>44</v>
      </c>
      <c r="E14" s="0" t="str">
        <f>LEFT(Table2[[#This Row],[City]],3)</f>
        <v>Syd</v>
      </c>
      <c r="F14" s="2">
        <v>3614609</v>
      </c>
      <c r="G14" s="2">
        <v>3889178</v>
      </c>
      <c r="H14" s="2">
        <f>Table2[[#This Row],[This Year - Sales]]-Table2[[#This Row],[Last Year - Sales]]</f>
        <v>274569</v>
      </c>
      <c r="I14" s="2">
        <v>4083637</v>
      </c>
    </row>
    <row r="15">
      <c r="A15" s="0" t="s">
        <v>42</v>
      </c>
      <c r="B15" s="0" t="s">
        <v>45</v>
      </c>
      <c r="C15" s="0" t="s">
        <v>10</v>
      </c>
      <c r="D15" s="0" t="s">
        <v>44</v>
      </c>
      <c r="E15" s="0" t="str">
        <f>LEFT(Table2[[#This Row],[City]],3)</f>
        <v>Syd</v>
      </c>
      <c r="F15" s="2">
        <v>2476185</v>
      </c>
      <c r="G15" s="2">
        <v>3821090</v>
      </c>
      <c r="H15" s="2">
        <f>Table2[[#This Row],[This Year - Sales]]-Table2[[#This Row],[Last Year - Sales]]</f>
        <v>1344905</v>
      </c>
      <c r="I15" s="2">
        <v>4012145</v>
      </c>
    </row>
    <row r="16">
      <c r="A16" s="0" t="s">
        <v>42</v>
      </c>
      <c r="B16" s="0" t="s">
        <v>46</v>
      </c>
      <c r="C16" s="0" t="s">
        <v>10</v>
      </c>
      <c r="D16" s="0" t="s">
        <v>44</v>
      </c>
      <c r="E16" s="0" t="str">
        <f>LEFT(Table2[[#This Row],[City]],3)</f>
        <v>Syd</v>
      </c>
      <c r="F16" s="2">
        <v>3429691</v>
      </c>
      <c r="G16" s="2">
        <v>2383271</v>
      </c>
      <c r="H16" s="2">
        <f>Table2[[#This Row],[This Year - Sales]]-Table2[[#This Row],[Last Year - Sales]]</f>
        <v>-1046420</v>
      </c>
      <c r="I16" s="2">
        <v>2502435</v>
      </c>
    </row>
    <row r="17">
      <c r="A17" s="0" t="s">
        <v>47</v>
      </c>
      <c r="B17" s="0" t="s">
        <v>48</v>
      </c>
      <c r="C17" s="0" t="s">
        <v>11</v>
      </c>
      <c r="D17" s="0" t="s">
        <v>49</v>
      </c>
      <c r="E17" s="0" t="str">
        <f>LEFT(Table2[[#This Row],[City]],3)</f>
        <v>Rom</v>
      </c>
      <c r="F17" s="2">
        <v>3348134</v>
      </c>
      <c r="G17" s="2">
        <v>3581635</v>
      </c>
      <c r="H17" s="2">
        <f>Table2[[#This Row],[This Year - Sales]]-Table2[[#This Row],[Last Year - Sales]]</f>
        <v>233501</v>
      </c>
      <c r="I17" s="2">
        <v>3760717</v>
      </c>
    </row>
    <row r="18">
      <c r="A18" s="0" t="s">
        <v>50</v>
      </c>
      <c r="B18" s="0" t="s">
        <v>51</v>
      </c>
      <c r="C18" s="0" t="s">
        <v>12</v>
      </c>
      <c r="D18" s="0" t="s">
        <v>52</v>
      </c>
      <c r="E18" s="0" t="str">
        <f>LEFT(Table2[[#This Row],[City]],3)</f>
        <v>Mad</v>
      </c>
      <c r="F18" s="2">
        <v>2258425</v>
      </c>
      <c r="G18" s="2">
        <v>2885214</v>
      </c>
      <c r="H18" s="2">
        <f>Table2[[#This Row],[This Year - Sales]]-Table2[[#This Row],[Last Year - Sales]]</f>
        <v>626789</v>
      </c>
      <c r="I18" s="2">
        <v>3029475</v>
      </c>
    </row>
    <row r="19">
      <c r="A19" s="0" t="s">
        <v>50</v>
      </c>
      <c r="B19" s="0" t="s">
        <v>53</v>
      </c>
      <c r="C19" s="0" t="s">
        <v>12</v>
      </c>
      <c r="D19" s="0" t="s">
        <v>52</v>
      </c>
      <c r="E19" s="0" t="str">
        <f>LEFT(Table2[[#This Row],[City]],3)</f>
        <v>Mad</v>
      </c>
      <c r="F19" s="2">
        <v>3300197</v>
      </c>
      <c r="G19" s="2">
        <v>3381493</v>
      </c>
      <c r="H19" s="2">
        <f>Table2[[#This Row],[This Year - Sales]]-Table2[[#This Row],[Last Year - Sales]]</f>
        <v>81296</v>
      </c>
      <c r="I19" s="2">
        <v>3550568</v>
      </c>
    </row>
    <row r="20">
      <c r="A20" s="0" t="s">
        <v>50</v>
      </c>
      <c r="B20" s="0" t="s">
        <v>54</v>
      </c>
      <c r="C20" s="0" t="s">
        <v>12</v>
      </c>
      <c r="D20" s="0" t="s">
        <v>52</v>
      </c>
      <c r="E20" s="0" t="str">
        <f>LEFT(Table2[[#This Row],[City]],3)</f>
        <v>Mad</v>
      </c>
      <c r="F20" s="2">
        <v>3867448</v>
      </c>
      <c r="G20" s="2">
        <v>2505543</v>
      </c>
      <c r="H20" s="2">
        <f>Table2[[#This Row],[This Year - Sales]]-Table2[[#This Row],[Last Year - Sales]]</f>
        <v>-1361905</v>
      </c>
      <c r="I20" s="2">
        <v>2630820</v>
      </c>
    </row>
  </sheetData>
  <phoneticPr fontId="4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selection activeCell="N10" sqref="N10"/>
    </sheetView>
  </sheetViews>
  <sheetFormatPr defaultRowHeight="15" x14ac:dyDescent="0.25"/>
  <cols>
    <col min="1" max="1" bestFit="1" width="20.42578125" customWidth="1"/>
    <col min="2" max="2" bestFit="1" width="10.140625" customWidth="1"/>
    <col min="3" max="3" bestFit="1" width="12.7109375" customWidth="1"/>
  </cols>
  <sheetData>
    <row r="1">
      <c r="A1" s="0" t="s">
        <v>55</v>
      </c>
      <c r="B1" s="0" t="s">
        <v>56</v>
      </c>
      <c r="C1" s="0" t="s">
        <v>57</v>
      </c>
      <c r="D1" s="0" t="s">
        <v>58</v>
      </c>
    </row>
    <row r="2">
      <c r="A2" s="0" t="s">
        <v>59</v>
      </c>
      <c r="B2" s="0" t="s">
        <v>60</v>
      </c>
      <c r="C2" s="3">
        <v>15016</v>
      </c>
    </row>
    <row r="3">
      <c r="A3" s="0" t="s">
        <v>61</v>
      </c>
      <c r="B3" s="0" t="s">
        <v>62</v>
      </c>
      <c r="C3" s="3">
        <v>14278</v>
      </c>
    </row>
    <row r="4">
      <c r="A4" s="0" t="s">
        <v>63</v>
      </c>
      <c r="B4" s="0" t="s">
        <v>64</v>
      </c>
      <c r="C4" s="3">
        <v>16513</v>
      </c>
    </row>
    <row r="5">
      <c r="A5" s="0" t="s">
        <v>65</v>
      </c>
      <c r="B5" s="0" t="s">
        <v>60</v>
      </c>
      <c r="C5" s="3">
        <v>19263</v>
      </c>
    </row>
    <row r="6">
      <c r="A6" s="0" t="s">
        <v>66</v>
      </c>
      <c r="B6" s="0" t="s">
        <v>67</v>
      </c>
      <c r="C6" s="3">
        <v>18955</v>
      </c>
    </row>
    <row r="7">
      <c r="A7" s="0" t="s">
        <v>68</v>
      </c>
      <c r="B7" s="0" t="s">
        <v>67</v>
      </c>
      <c r="C7" s="3">
        <v>18063</v>
      </c>
    </row>
    <row r="8">
      <c r="A8" s="0" t="s">
        <v>69</v>
      </c>
      <c r="B8" s="0" t="s">
        <v>70</v>
      </c>
      <c r="C8" s="3">
        <v>6346</v>
      </c>
    </row>
    <row r="9">
      <c r="A9" s="0" t="s">
        <v>71</v>
      </c>
      <c r="B9" s="0" t="s">
        <v>70</v>
      </c>
      <c r="C9" s="3">
        <v>17080</v>
      </c>
    </row>
    <row r="10">
      <c r="A10" s="0" t="s">
        <v>72</v>
      </c>
      <c r="B10" s="0" t="s">
        <v>62</v>
      </c>
      <c r="C10" s="3">
        <v>14608</v>
      </c>
    </row>
    <row r="11">
      <c r="A11" s="0" t="s">
        <v>73</v>
      </c>
      <c r="B11" s="0" t="s">
        <v>74</v>
      </c>
      <c r="C11" s="3">
        <v>10694</v>
      </c>
    </row>
    <row r="12">
      <c r="A12" s="0" t="s">
        <v>75</v>
      </c>
      <c r="B12" s="0" t="s">
        <v>62</v>
      </c>
      <c r="C12" s="3">
        <v>10161</v>
      </c>
    </row>
    <row r="13">
      <c r="A13" s="0" t="s">
        <v>76</v>
      </c>
      <c r="B13" s="0" t="s">
        <v>77</v>
      </c>
      <c r="C13" s="3">
        <v>9809</v>
      </c>
    </row>
    <row r="14">
      <c r="A14" s="0" t="s">
        <v>78</v>
      </c>
      <c r="B14" s="0" t="s">
        <v>67</v>
      </c>
      <c r="C14" s="3">
        <v>8173</v>
      </c>
    </row>
    <row r="15">
      <c r="A15" s="0" t="s">
        <v>79</v>
      </c>
      <c r="B15" s="0" t="s">
        <v>67</v>
      </c>
      <c r="C15" s="3">
        <v>8633</v>
      </c>
    </row>
    <row r="16">
      <c r="A16" s="0" t="s">
        <v>80</v>
      </c>
      <c r="B16" s="0" t="s">
        <v>67</v>
      </c>
      <c r="C16" s="3">
        <v>7792</v>
      </c>
    </row>
    <row r="17">
      <c r="A17" s="0" t="s">
        <v>81</v>
      </c>
      <c r="B17" s="0" t="s">
        <v>60</v>
      </c>
      <c r="C17" s="3">
        <v>7182</v>
      </c>
    </row>
    <row r="18">
      <c r="A18" s="0" t="s">
        <v>82</v>
      </c>
      <c r="B18" s="0" t="s">
        <v>74</v>
      </c>
      <c r="C18" s="3">
        <v>6819</v>
      </c>
    </row>
    <row r="19">
      <c r="A19" s="0" t="s">
        <v>83</v>
      </c>
      <c r="B19" s="0" t="s">
        <v>74</v>
      </c>
      <c r="C19" s="3">
        <v>12844</v>
      </c>
    </row>
    <row r="20">
      <c r="A20" s="0" t="s">
        <v>84</v>
      </c>
      <c r="B20" s="0" t="s">
        <v>77</v>
      </c>
      <c r="C20" s="3">
        <v>7945</v>
      </c>
    </row>
    <row r="21">
      <c r="A21" s="0" t="s">
        <v>85</v>
      </c>
      <c r="B21" s="0" t="s">
        <v>74</v>
      </c>
      <c r="C21" s="3">
        <v>19234</v>
      </c>
    </row>
    <row r="22">
      <c r="A22" s="0" t="s">
        <v>86</v>
      </c>
      <c r="B22" s="0" t="s">
        <v>60</v>
      </c>
      <c r="C22" s="3">
        <v>11419</v>
      </c>
    </row>
    <row r="23">
      <c r="A23" s="0" t="s">
        <v>87</v>
      </c>
      <c r="B23" s="0" t="s">
        <v>64</v>
      </c>
      <c r="C23" s="3">
        <v>9002</v>
      </c>
    </row>
    <row r="24">
      <c r="A24" s="0" t="s">
        <v>88</v>
      </c>
      <c r="B24" s="0" t="s">
        <v>67</v>
      </c>
      <c r="C24" s="3">
        <v>19881</v>
      </c>
    </row>
    <row r="25">
      <c r="A25" s="0" t="s">
        <v>89</v>
      </c>
      <c r="B25" s="0" t="s">
        <v>62</v>
      </c>
      <c r="C25" s="3">
        <v>17630</v>
      </c>
    </row>
    <row r="26">
      <c r="A26" s="0" t="s">
        <v>90</v>
      </c>
      <c r="B26" s="0" t="s">
        <v>91</v>
      </c>
      <c r="C26" s="3">
        <v>19050</v>
      </c>
    </row>
    <row r="27">
      <c r="A27" s="0" t="s">
        <v>92</v>
      </c>
      <c r="B27" s="0" t="s">
        <v>74</v>
      </c>
      <c r="C27" s="3">
        <v>17202</v>
      </c>
    </row>
    <row r="28">
      <c r="A28" s="0" t="s">
        <v>93</v>
      </c>
      <c r="B28" s="0" t="s">
        <v>60</v>
      </c>
      <c r="C28" s="3">
        <v>15408</v>
      </c>
    </row>
    <row r="29">
      <c r="A29" s="0" t="s">
        <v>94</v>
      </c>
      <c r="B29" s="0" t="s">
        <v>67</v>
      </c>
      <c r="C29" s="3">
        <v>12310</v>
      </c>
    </row>
    <row r="30">
      <c r="A30" s="0" t="s">
        <v>95</v>
      </c>
      <c r="B30" s="0" t="s">
        <v>67</v>
      </c>
      <c r="C30" s="3">
        <v>17441</v>
      </c>
    </row>
    <row r="31">
      <c r="A31" s="0" t="s">
        <v>96</v>
      </c>
      <c r="B31" s="0" t="s">
        <v>67</v>
      </c>
      <c r="C31" s="3">
        <v>14548</v>
      </c>
    </row>
    <row r="32">
      <c r="A32" s="0" t="s">
        <v>97</v>
      </c>
      <c r="B32" s="0" t="s">
        <v>67</v>
      </c>
      <c r="C32" s="3">
        <v>19132</v>
      </c>
    </row>
    <row r="33">
      <c r="A33" s="0" t="s">
        <v>98</v>
      </c>
      <c r="B33" s="0" t="s">
        <v>77</v>
      </c>
      <c r="C33" s="3">
        <v>17250</v>
      </c>
    </row>
    <row r="34">
      <c r="A34" s="0" t="s">
        <v>99</v>
      </c>
      <c r="B34" s="0" t="s">
        <v>91</v>
      </c>
      <c r="C34" s="3">
        <v>15028</v>
      </c>
    </row>
    <row r="35">
      <c r="A35" s="0" t="s">
        <v>100</v>
      </c>
      <c r="B35" s="0" t="s">
        <v>91</v>
      </c>
      <c r="C35" s="3">
        <v>17895</v>
      </c>
    </row>
    <row r="36">
      <c r="A36" s="0" t="s">
        <v>101</v>
      </c>
      <c r="B36" s="0" t="s">
        <v>64</v>
      </c>
      <c r="C36" s="3">
        <v>19109</v>
      </c>
    </row>
    <row r="37">
      <c r="A37" s="0" t="s">
        <v>102</v>
      </c>
      <c r="B37" s="0" t="s">
        <v>91</v>
      </c>
      <c r="C37" s="3">
        <v>16689</v>
      </c>
    </row>
  </sheetData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C25" sqref="C25"/>
    </sheetView>
  </sheetViews>
  <sheetFormatPr defaultRowHeight="15" x14ac:dyDescent="0.25"/>
  <cols>
    <col min="1" max="1" bestFit="1" width="11.85546875" customWidth="1"/>
    <col min="2" max="2" bestFit="1" width="19.140625" customWidth="1"/>
    <col min="4" max="4" width="13" customWidth="1"/>
    <col min="5" max="5" width="13.28515625" customWidth="1"/>
    <col min="6" max="6" bestFit="1" width="12" customWidth="1"/>
  </cols>
  <sheetData>
    <row r="1">
      <c r="A1" s="0" t="s">
        <v>13</v>
      </c>
      <c r="B1" s="0" t="s">
        <v>3</v>
      </c>
      <c r="C1" s="0" t="s">
        <v>103</v>
      </c>
      <c r="D1" s="0" t="s">
        <v>104</v>
      </c>
      <c r="E1" s="0" t="s">
        <v>105</v>
      </c>
      <c r="F1" s="0" t="s">
        <v>19</v>
      </c>
    </row>
    <row r="2">
      <c r="A2" s="0" t="s">
        <v>22</v>
      </c>
      <c r="B2" s="0" t="s">
        <v>6</v>
      </c>
      <c r="C2" s="0" t="s">
        <v>24</v>
      </c>
      <c r="D2" s="2">
        <v>3608151</v>
      </c>
      <c r="E2" s="2">
        <v>3582084</v>
      </c>
      <c r="F2" s="2">
        <f>E2-D2</f>
        <v>-26067</v>
      </c>
    </row>
    <row r="3">
      <c r="A3" s="0" t="s">
        <v>22</v>
      </c>
      <c r="B3" s="0" t="s">
        <v>6</v>
      </c>
      <c r="C3" s="0" t="s">
        <v>24</v>
      </c>
      <c r="D3" s="2">
        <v>2139830</v>
      </c>
      <c r="E3" s="2">
        <v>2872246</v>
      </c>
      <c r="F3" s="2">
        <f ref="F3:F20" t="shared" si="0">E3-D3</f>
        <v>732416</v>
      </c>
    </row>
    <row r="4">
      <c r="A4" s="0" t="s">
        <v>22</v>
      </c>
      <c r="B4" s="0" t="s">
        <v>6</v>
      </c>
      <c r="C4" s="0" t="s">
        <v>24</v>
      </c>
      <c r="D4" s="2">
        <v>2424656</v>
      </c>
      <c r="E4" s="2">
        <v>3336659</v>
      </c>
      <c r="F4" s="2">
        <f t="shared" si="0"/>
        <v>912003</v>
      </c>
    </row>
    <row r="5">
      <c r="A5" s="0" t="s">
        <v>22</v>
      </c>
      <c r="B5" s="0" t="s">
        <v>6</v>
      </c>
      <c r="C5" s="0" t="s">
        <v>24</v>
      </c>
      <c r="D5" s="2">
        <v>2389888</v>
      </c>
      <c r="E5" s="2">
        <v>2531005</v>
      </c>
      <c r="F5" s="2">
        <f t="shared" si="0"/>
        <v>141117</v>
      </c>
    </row>
    <row r="6">
      <c r="A6" s="0" t="s">
        <v>28</v>
      </c>
      <c r="B6" s="0" t="s">
        <v>7</v>
      </c>
      <c r="C6" s="0" t="s">
        <v>30</v>
      </c>
      <c r="D6" s="2">
        <v>3555275</v>
      </c>
      <c r="E6" s="2">
        <v>2070881</v>
      </c>
      <c r="F6" s="2">
        <f t="shared" si="0"/>
        <v>-1484394</v>
      </c>
    </row>
    <row r="7">
      <c r="A7" s="0" t="s">
        <v>28</v>
      </c>
      <c r="B7" s="0" t="s">
        <v>7</v>
      </c>
      <c r="C7" s="0" t="s">
        <v>30</v>
      </c>
      <c r="D7" s="2">
        <v>2780477</v>
      </c>
      <c r="E7" s="2">
        <v>2912791</v>
      </c>
      <c r="F7" s="2">
        <f t="shared" si="0"/>
        <v>132314</v>
      </c>
    </row>
    <row r="8">
      <c r="A8" s="0" t="s">
        <v>32</v>
      </c>
      <c r="B8" s="0" t="s">
        <v>8</v>
      </c>
      <c r="C8" s="0" t="s">
        <v>34</v>
      </c>
      <c r="D8" s="2">
        <v>2985817</v>
      </c>
      <c r="E8" s="2">
        <v>2682489</v>
      </c>
      <c r="F8" s="2">
        <f t="shared" si="0"/>
        <v>-303328</v>
      </c>
    </row>
    <row r="9">
      <c r="A9" s="0" t="s">
        <v>32</v>
      </c>
      <c r="B9" s="0" t="s">
        <v>8</v>
      </c>
      <c r="C9" s="0" t="s">
        <v>34</v>
      </c>
      <c r="D9" s="2">
        <v>2867032</v>
      </c>
      <c r="E9" s="2">
        <v>2008626</v>
      </c>
      <c r="F9" s="2">
        <f t="shared" si="0"/>
        <v>-858406</v>
      </c>
    </row>
    <row r="10">
      <c r="A10" s="0" t="s">
        <v>32</v>
      </c>
      <c r="B10" s="0" t="s">
        <v>8</v>
      </c>
      <c r="C10" s="0" t="s">
        <v>34</v>
      </c>
      <c r="D10" s="2">
        <v>3139721</v>
      </c>
      <c r="E10" s="2">
        <v>2160578</v>
      </c>
      <c r="F10" s="2">
        <f t="shared" si="0"/>
        <v>-979143</v>
      </c>
    </row>
    <row r="11">
      <c r="A11" s="0" t="s">
        <v>37</v>
      </c>
      <c r="B11" s="0" t="s">
        <v>9</v>
      </c>
      <c r="C11" s="0" t="s">
        <v>39</v>
      </c>
      <c r="D11" s="2">
        <v>3288489</v>
      </c>
      <c r="E11" s="2">
        <v>2372983</v>
      </c>
      <c r="F11" s="2">
        <f t="shared" si="0"/>
        <v>-915506</v>
      </c>
    </row>
    <row r="12">
      <c r="A12" s="0" t="s">
        <v>37</v>
      </c>
      <c r="B12" s="0" t="s">
        <v>9</v>
      </c>
      <c r="C12" s="0" t="s">
        <v>39</v>
      </c>
      <c r="D12" s="2">
        <v>3089641</v>
      </c>
      <c r="E12" s="2">
        <v>3372304</v>
      </c>
      <c r="F12" s="2">
        <f t="shared" si="0"/>
        <v>282663</v>
      </c>
    </row>
    <row r="13">
      <c r="A13" s="0" t="s">
        <v>37</v>
      </c>
      <c r="B13" s="0" t="s">
        <v>9</v>
      </c>
      <c r="C13" s="0" t="s">
        <v>39</v>
      </c>
      <c r="D13" s="2">
        <v>2609705</v>
      </c>
      <c r="E13" s="2">
        <v>2805815</v>
      </c>
      <c r="F13" s="2">
        <f t="shared" si="0"/>
        <v>196110</v>
      </c>
    </row>
    <row r="14">
      <c r="A14" s="0" t="s">
        <v>42</v>
      </c>
      <c r="B14" s="0" t="s">
        <v>10</v>
      </c>
      <c r="C14" s="0" t="s">
        <v>44</v>
      </c>
      <c r="D14" s="2">
        <v>3614609</v>
      </c>
      <c r="E14" s="2">
        <v>3889178</v>
      </c>
      <c r="F14" s="2">
        <f t="shared" si="0"/>
        <v>274569</v>
      </c>
    </row>
    <row r="15">
      <c r="A15" s="0" t="s">
        <v>42</v>
      </c>
      <c r="B15" s="0" t="s">
        <v>10</v>
      </c>
      <c r="C15" s="0" t="s">
        <v>44</v>
      </c>
      <c r="D15" s="2">
        <v>2476185</v>
      </c>
      <c r="E15" s="2">
        <v>3821090</v>
      </c>
      <c r="F15" s="2">
        <f t="shared" si="0"/>
        <v>1344905</v>
      </c>
    </row>
    <row r="16">
      <c r="A16" s="0" t="s">
        <v>42</v>
      </c>
      <c r="B16" s="0" t="s">
        <v>10</v>
      </c>
      <c r="C16" s="0" t="s">
        <v>44</v>
      </c>
      <c r="D16" s="2">
        <v>3429681</v>
      </c>
      <c r="E16" s="2">
        <v>2383271</v>
      </c>
      <c r="F16" s="2">
        <f t="shared" si="0"/>
        <v>-1046410</v>
      </c>
    </row>
    <row r="17">
      <c r="A17" s="0" t="s">
        <v>47</v>
      </c>
      <c r="B17" s="0" t="s">
        <v>11</v>
      </c>
      <c r="C17" s="0" t="s">
        <v>49</v>
      </c>
      <c r="D17" s="2">
        <v>3348134</v>
      </c>
      <c r="E17" s="2">
        <v>3581635</v>
      </c>
      <c r="F17" s="2">
        <f t="shared" si="0"/>
        <v>233501</v>
      </c>
    </row>
    <row r="18">
      <c r="A18" s="0" t="s">
        <v>50</v>
      </c>
      <c r="B18" s="0" t="s">
        <v>12</v>
      </c>
      <c r="C18" s="0" t="s">
        <v>52</v>
      </c>
      <c r="D18" s="2">
        <v>2258425</v>
      </c>
      <c r="E18" s="2">
        <v>2885214</v>
      </c>
      <c r="F18" s="2">
        <f t="shared" si="0"/>
        <v>626789</v>
      </c>
    </row>
    <row r="19">
      <c r="A19" s="0" t="s">
        <v>50</v>
      </c>
      <c r="B19" s="0" t="s">
        <v>12</v>
      </c>
      <c r="C19" s="0" t="s">
        <v>52</v>
      </c>
      <c r="D19" s="2">
        <v>3300197</v>
      </c>
      <c r="E19" s="2">
        <v>3881493</v>
      </c>
      <c r="F19" s="2">
        <f t="shared" si="0"/>
        <v>581296</v>
      </c>
    </row>
    <row r="20">
      <c r="A20" s="0" t="s">
        <v>50</v>
      </c>
      <c r="B20" s="0" t="s">
        <v>12</v>
      </c>
      <c r="C20" s="0" t="s">
        <v>52</v>
      </c>
      <c r="D20" s="2">
        <v>3867448</v>
      </c>
      <c r="E20" s="2">
        <v>2505543</v>
      </c>
      <c r="F20" s="2">
        <f t="shared" si="0"/>
        <v>-1361905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</vt:lpstr>
      <vt:lpstr>Authors</vt:lpstr>
      <vt:lpstr>Historical Sales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2025-07-08T08:44:32Z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