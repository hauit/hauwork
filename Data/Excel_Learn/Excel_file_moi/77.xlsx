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5DAD9927-5468-4F13-9FA1-F7C2CEE42E05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Q1 Sales" sheetId="1" r:id="rId1"/>
    <sheet name="Q2 Sales" sheetId="2" r:id="rId2"/>
  </sheets>
  <calcPr calcId="191029" fullCalcOnLoad="1" fullPrecision="1"/>
</workbook>
</file>

<file path=xl/sharedStrings.xml><?xml version="1.0" encoding="utf-8"?>
<sst xmlns="http://schemas.openxmlformats.org/spreadsheetml/2006/main" count="71" uniqueCount="71">
  <si>
    <t>LUCERNE PUBLISHING</t>
  </si>
  <si>
    <t>BEST SELLING FICTION FOR FIRST QUARTER</t>
  </si>
  <si>
    <t>Q1 Sales</t>
  </si>
  <si>
    <t>Book Name</t>
  </si>
  <si>
    <t>Author</t>
  </si>
  <si>
    <t>January</t>
  </si>
  <si>
    <t>February</t>
  </si>
  <si>
    <t>March</t>
  </si>
  <si>
    <t>Avarage Sales</t>
  </si>
  <si>
    <t>SELLING STATUS</t>
  </si>
  <si>
    <t>TREND</t>
  </si>
  <si>
    <t>The Cobbler's Wife</t>
  </si>
  <si>
    <t>Susan Burk</t>
  </si>
  <si>
    <t>Etched in Glass</t>
  </si>
  <si>
    <t>Richard Carey</t>
  </si>
  <si>
    <t>The Almond Man</t>
  </si>
  <si>
    <t>Eli Bowen</t>
  </si>
  <si>
    <t>The Outspoken Wife</t>
  </si>
  <si>
    <t>The Pelican</t>
  </si>
  <si>
    <t>Mary E. Gibson</t>
  </si>
  <si>
    <t>The Light Between Seas</t>
  </si>
  <si>
    <t>Jane Chapman</t>
  </si>
  <si>
    <t>My Sister's Keeper</t>
  </si>
  <si>
    <t>On The Breeze</t>
  </si>
  <si>
    <t>Molly Dempsey</t>
  </si>
  <si>
    <t>Publisher's Row</t>
  </si>
  <si>
    <t>James Fine</t>
  </si>
  <si>
    <t>Jock Raines: The Detective</t>
  </si>
  <si>
    <t>David Galvan</t>
  </si>
  <si>
    <t>The Wife's Secret</t>
  </si>
  <si>
    <t>The Trip to LA</t>
  </si>
  <si>
    <t>Wired To Travel</t>
  </si>
  <si>
    <t>The Fallen Angel</t>
  </si>
  <si>
    <t>Invisible To The Eye</t>
  </si>
  <si>
    <t>Jenny Gottfried</t>
  </si>
  <si>
    <t>Aliens Of The North</t>
  </si>
  <si>
    <t>The Irish Spy</t>
  </si>
  <si>
    <t>Snow Man Of The Wild</t>
  </si>
  <si>
    <t>Katie Jordan</t>
  </si>
  <si>
    <t>Habits Of The Rich</t>
  </si>
  <si>
    <t>Maria Hammond</t>
  </si>
  <si>
    <t>The Cruise I'll Never Forget</t>
  </si>
  <si>
    <t>After Midnight</t>
  </si>
  <si>
    <t>David Hamilton</t>
  </si>
  <si>
    <t>The Ticking Clock</t>
  </si>
  <si>
    <t>Terry Hoganson</t>
  </si>
  <si>
    <t>The Conquered Land</t>
  </si>
  <si>
    <t>John Kane</t>
  </si>
  <si>
    <t>The School Teacher's Nightmare</t>
  </si>
  <si>
    <t>Robert Lyon</t>
  </si>
  <si>
    <t>The New Arrivals</t>
  </si>
  <si>
    <t>Thomas Jensen</t>
  </si>
  <si>
    <t>Johnson's Pride</t>
  </si>
  <si>
    <t>Michael Holm</t>
  </si>
  <si>
    <t>Sally's Relatives</t>
  </si>
  <si>
    <t>Jenny Lysaker</t>
  </si>
  <si>
    <t>The Boyfriend In Disguise</t>
  </si>
  <si>
    <t>Anna Lidman</t>
  </si>
  <si>
    <t>The Dark Shadow</t>
  </si>
  <si>
    <t>Elsa Leavitt</t>
  </si>
  <si>
    <t>Everything's Rosey</t>
  </si>
  <si>
    <t>Arlene Huff</t>
  </si>
  <si>
    <t>Promises, Promises</t>
  </si>
  <si>
    <t>Lisa Mather</t>
  </si>
  <si>
    <t>Best Seller Average Sales</t>
  </si>
  <si>
    <t xml:space="preserve">BEST SELLING FICTION FOR FIRST QUARTER </t>
  </si>
  <si>
    <t>Q2 Sales</t>
  </si>
  <si>
    <t>April</t>
  </si>
  <si>
    <t>May</t>
  </si>
  <si>
    <t>June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</si>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</sst>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5" applyFont="1" fillId="0" applyFill="0" borderId="5" applyBorder="1" applyProtection="0" applyAlignment="0"/>
    <xf numFmtId="0" applyNumberFormat="0" fontId="4" applyFont="1" fillId="4" applyFill="1" borderId="1" applyBorder="1" applyProtection="0" applyAlignment="0"/>
  </cellStyleXfs>
  <cellXfs count="11">
    <xf numFmtId="0" fontId="0" fillId="0" borderId="0" xfId="0"/>
    <xf numFmtId="0" fontId="1" applyFont="1" fillId="3" applyFill="1" borderId="0" xfId="0"/>
    <xf numFmtId="8" applyNumberFormat="1" fontId="0" fillId="0" borderId="0" xfId="0"/>
    <xf numFmtId="0" fontId="0" fillId="0" borderId="0" xfId="0" applyAlignment="1">
      <alignment horizontal="center"/>
    </xf>
    <xf numFmtId="0" fontId="2" applyFont="1" fillId="0" borderId="0" xfId="0"/>
    <xf numFmtId="0" fontId="3" applyFont="1" fillId="2" applyFill="1" borderId="0" xfId="0" applyAlignment="1">
      <alignment horizontal="right"/>
    </xf>
    <xf numFmtId="0" fontId="2" applyFont="1" fillId="2" applyFill="1" borderId="0" xfId="0" applyAlignment="1">
      <alignment horizontal="center"/>
    </xf>
    <xf numFmtId="0" fontId="4" applyFont="1" fillId="4" applyFill="1" borderId="1" applyBorder="1" xfId="2" applyAlignment="1">
      <alignment horizontal="center"/>
    </xf>
    <xf numFmtId="0" fontId="4" applyFont="1" fillId="4" applyFill="1" borderId="2" applyBorder="1" xfId="2" applyAlignment="1">
      <alignment horizontal="right"/>
    </xf>
    <xf numFmtId="0" fontId="4" applyFont="1" fillId="4" applyFill="1" borderId="3" applyBorder="1" xfId="2" applyAlignment="1">
      <alignment horizontal="right"/>
    </xf>
    <xf numFmtId="0" fontId="4" applyFont="1" fillId="4" applyFill="1" borderId="4" applyBorder="1" xfId="2" applyAlignment="1">
      <alignment horizontal="right"/>
    </xf>
  </cellXfs>
  <cellStyles count="3">
    <cellStyle name="Heading 1" xfId="1" builtinId="16"/>
    <cellStyle name="Input" xfId="2" builtinId="20"/>
    <cellStyle name="Normal" xfId="0" builtinId="0"/>
  </cellStyles>
  <dxfs count="9">
    <dxf>
      <numFmt numFmtId="0" formatCode="General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'Q2 Sales'!$F$4:$H$4</c:f>
          <c:strCache>
            <c:ptCount val="3"/>
            <c:pt idx="0">
              <c:v>Q2 Sales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Sales'!$C$5</c:f>
              <c:strCache>
                <c:ptCount val="1"/>
                <c:pt idx="0">
                  <c:v>April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'Q2 Sales'!$A$6:$A$34</c:f>
              <c:strCache>
                <c:ptCount val="29"/>
                <c:pt idx="0">
                  <c:v>After Midnight</c:v>
                </c:pt>
                <c:pt idx="1">
                  <c:v>Aliens Of The North</c:v>
                </c:pt>
                <c:pt idx="2">
                  <c:v>Etched in Glass</c:v>
                </c:pt>
                <c:pt idx="3">
                  <c:v>Everything's Rosey</c:v>
                </c:pt>
                <c:pt idx="4">
                  <c:v>Habits Of The Rich</c:v>
                </c:pt>
                <c:pt idx="5">
                  <c:v>Invisible To The Eye</c:v>
                </c:pt>
                <c:pt idx="6">
                  <c:v>Jock Raines: The Detective</c:v>
                </c:pt>
                <c:pt idx="7">
                  <c:v>Johnson's Pride</c:v>
                </c:pt>
                <c:pt idx="8">
                  <c:v>My Sister's Keeper</c:v>
                </c:pt>
                <c:pt idx="9">
                  <c:v>On The Breeze</c:v>
                </c:pt>
                <c:pt idx="10">
                  <c:v>Promises, Promises</c:v>
                </c:pt>
                <c:pt idx="11">
                  <c:v>Publisher's Row</c:v>
                </c:pt>
                <c:pt idx="12">
                  <c:v>Sally's Relatives</c:v>
                </c:pt>
                <c:pt idx="13">
                  <c:v>Snow Man Of The Wild</c:v>
                </c:pt>
                <c:pt idx="14">
                  <c:v>The Almond Man</c:v>
                </c:pt>
                <c:pt idx="15">
                  <c:v>The Boyfriend In Disguise</c:v>
                </c:pt>
                <c:pt idx="16">
                  <c:v>The Cobbler's Wife</c:v>
                </c:pt>
                <c:pt idx="17">
                  <c:v>The Conquered Land</c:v>
                </c:pt>
                <c:pt idx="18">
                  <c:v>The Cruise I'll Never Forget</c:v>
                </c:pt>
                <c:pt idx="19">
                  <c:v>The Dark Shadow</c:v>
                </c:pt>
                <c:pt idx="20">
                  <c:v>The Fallen Angel</c:v>
                </c:pt>
                <c:pt idx="21">
                  <c:v>The Irish Spy</c:v>
                </c:pt>
                <c:pt idx="22">
                  <c:v>The Light Between Seas</c:v>
                </c:pt>
                <c:pt idx="23">
                  <c:v>The New Arrivals</c:v>
                </c:pt>
                <c:pt idx="24">
                  <c:v>The Outspoken Wife</c:v>
                </c:pt>
                <c:pt idx="25">
                  <c:v>The Pelican</c:v>
                </c:pt>
                <c:pt idx="26">
                  <c:v>The School Teacher's Nightmare</c:v>
                </c:pt>
                <c:pt idx="27">
                  <c:v>The Ticking Clock</c:v>
                </c:pt>
                <c:pt idx="28">
                  <c:v>The Trip to LA</c:v>
                </c:pt>
              </c:strCache>
            </c:strRef>
          </c:cat>
          <c:val>
            <c:numRef>
              <c:f>'Q2 Sales'!$C$6:$C$34</c:f>
              <c:numCache>
                <c:formatCode>"$"#,##0.00_);[Red]\("$"#,##0.00\)</c:formatCode>
                <c:ptCount val="29"/>
                <c:pt idx="0">
                  <c:v>890.95</c:v>
                </c:pt>
                <c:pt idx="1">
                  <c:v>996.2</c:v>
                </c:pt>
                <c:pt idx="2">
                  <c:v>945.44</c:v>
                </c:pt>
                <c:pt idx="3">
                  <c:v>993.59</c:v>
                </c:pt>
                <c:pt idx="4">
                  <c:v>807.14</c:v>
                </c:pt>
                <c:pt idx="5">
                  <c:v>562.61</c:v>
                </c:pt>
                <c:pt idx="6">
                  <c:v>1006.15</c:v>
                </c:pt>
                <c:pt idx="7">
                  <c:v>941.98</c:v>
                </c:pt>
                <c:pt idx="8">
                  <c:v>428.91</c:v>
                </c:pt>
                <c:pt idx="9">
                  <c:v>780.65</c:v>
                </c:pt>
                <c:pt idx="10">
                  <c:v>993.59</c:v>
                </c:pt>
                <c:pt idx="11">
                  <c:v>721.48</c:v>
                </c:pt>
                <c:pt idx="12">
                  <c:v>949.38</c:v>
                </c:pt>
                <c:pt idx="13">
                  <c:v>1180.75</c:v>
                </c:pt>
                <c:pt idx="14">
                  <c:v>1124.25</c:v>
                </c:pt>
                <c:pt idx="15">
                  <c:v>949.79</c:v>
                </c:pt>
                <c:pt idx="16">
                  <c:v>396.85</c:v>
                </c:pt>
                <c:pt idx="17">
                  <c:v>912.76</c:v>
                </c:pt>
                <c:pt idx="18">
                  <c:v>872.55</c:v>
                </c:pt>
                <c:pt idx="19">
                  <c:v>978.19</c:v>
                </c:pt>
                <c:pt idx="20">
                  <c:v>783.04</c:v>
                </c:pt>
                <c:pt idx="21">
                  <c:v>497.4</c:v>
                </c:pt>
                <c:pt idx="22">
                  <c:v>1104.8800000000001</c:v>
                </c:pt>
                <c:pt idx="23">
                  <c:v>932.57</c:v>
                </c:pt>
                <c:pt idx="24">
                  <c:v>307.82</c:v>
                </c:pt>
                <c:pt idx="25">
                  <c:v>497.75</c:v>
                </c:pt>
                <c:pt idx="26">
                  <c:v>941.17</c:v>
                </c:pt>
                <c:pt idx="27">
                  <c:v>909.36</c:v>
                </c:pt>
                <c:pt idx="28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6-4D8F-AE32-C90306598267}"/>
            </c:ext>
          </c:extLst>
        </c:ser>
        <c:ser>
          <c:idx val="1"/>
          <c:order val="1"/>
          <c:tx>
            <c:strRef>
              <c:f>'Q2 Sales'!$D$5</c:f>
              <c:strCache>
                <c:ptCount val="1"/>
                <c:pt idx="0">
                  <c:v>May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'Q2 Sales'!$A$6:$A$34</c:f>
              <c:strCache>
                <c:ptCount val="29"/>
                <c:pt idx="0">
                  <c:v>After Midnight</c:v>
                </c:pt>
                <c:pt idx="1">
                  <c:v>Aliens Of The North</c:v>
                </c:pt>
                <c:pt idx="2">
                  <c:v>Etched in Glass</c:v>
                </c:pt>
                <c:pt idx="3">
                  <c:v>Everything's Rosey</c:v>
                </c:pt>
                <c:pt idx="4">
                  <c:v>Habits Of The Rich</c:v>
                </c:pt>
                <c:pt idx="5">
                  <c:v>Invisible To The Eye</c:v>
                </c:pt>
                <c:pt idx="6">
                  <c:v>Jock Raines: The Detective</c:v>
                </c:pt>
                <c:pt idx="7">
                  <c:v>Johnson's Pride</c:v>
                </c:pt>
                <c:pt idx="8">
                  <c:v>My Sister's Keeper</c:v>
                </c:pt>
                <c:pt idx="9">
                  <c:v>On The Breeze</c:v>
                </c:pt>
                <c:pt idx="10">
                  <c:v>Promises, Promises</c:v>
                </c:pt>
                <c:pt idx="11">
                  <c:v>Publisher's Row</c:v>
                </c:pt>
                <c:pt idx="12">
                  <c:v>Sally's Relatives</c:v>
                </c:pt>
                <c:pt idx="13">
                  <c:v>Snow Man Of The Wild</c:v>
                </c:pt>
                <c:pt idx="14">
                  <c:v>The Almond Man</c:v>
                </c:pt>
                <c:pt idx="15">
                  <c:v>The Boyfriend In Disguise</c:v>
                </c:pt>
                <c:pt idx="16">
                  <c:v>The Cobbler's Wife</c:v>
                </c:pt>
                <c:pt idx="17">
                  <c:v>The Conquered Land</c:v>
                </c:pt>
                <c:pt idx="18">
                  <c:v>The Cruise I'll Never Forget</c:v>
                </c:pt>
                <c:pt idx="19">
                  <c:v>The Dark Shadow</c:v>
                </c:pt>
                <c:pt idx="20">
                  <c:v>The Fallen Angel</c:v>
                </c:pt>
                <c:pt idx="21">
                  <c:v>The Irish Spy</c:v>
                </c:pt>
                <c:pt idx="22">
                  <c:v>The Light Between Seas</c:v>
                </c:pt>
                <c:pt idx="23">
                  <c:v>The New Arrivals</c:v>
                </c:pt>
                <c:pt idx="24">
                  <c:v>The Outspoken Wife</c:v>
                </c:pt>
                <c:pt idx="25">
                  <c:v>The Pelican</c:v>
                </c:pt>
                <c:pt idx="26">
                  <c:v>The School Teacher's Nightmare</c:v>
                </c:pt>
                <c:pt idx="27">
                  <c:v>The Ticking Clock</c:v>
                </c:pt>
                <c:pt idx="28">
                  <c:v>The Trip to LA</c:v>
                </c:pt>
              </c:strCache>
            </c:strRef>
          </c:cat>
          <c:val>
            <c:numRef>
              <c:f>'Q2 Sales'!$D$6:$D$34</c:f>
              <c:numCache>
                <c:formatCode>"$"#,##0.00_);[Red]\("$"#,##0.00\)</c:formatCode>
                <c:ptCount val="29"/>
                <c:pt idx="0">
                  <c:v>1046.5</c:v>
                </c:pt>
                <c:pt idx="1">
                  <c:v>1208.07</c:v>
                </c:pt>
                <c:pt idx="2">
                  <c:v>1039.93</c:v>
                </c:pt>
                <c:pt idx="3">
                  <c:v>1138.44</c:v>
                </c:pt>
                <c:pt idx="4">
                  <c:v>994</c:v>
                </c:pt>
                <c:pt idx="5">
                  <c:v>1258.32</c:v>
                </c:pt>
                <c:pt idx="6">
                  <c:v>1271.25</c:v>
                </c:pt>
                <c:pt idx="7">
                  <c:v>1097.58</c:v>
                </c:pt>
                <c:pt idx="8">
                  <c:v>1268.68</c:v>
                </c:pt>
                <c:pt idx="9">
                  <c:v>749.65</c:v>
                </c:pt>
                <c:pt idx="10">
                  <c:v>1148.6600000000001</c:v>
                </c:pt>
                <c:pt idx="11">
                  <c:v>324.75</c:v>
                </c:pt>
                <c:pt idx="12">
                  <c:v>1107.8</c:v>
                </c:pt>
                <c:pt idx="13">
                  <c:v>366.85</c:v>
                </c:pt>
                <c:pt idx="14">
                  <c:v>238.5</c:v>
                </c:pt>
                <c:pt idx="15">
                  <c:v>1118.01</c:v>
                </c:pt>
                <c:pt idx="16">
                  <c:v>478.4</c:v>
                </c:pt>
                <c:pt idx="17">
                  <c:v>1066.93</c:v>
                </c:pt>
                <c:pt idx="18">
                  <c:v>1036.28</c:v>
                </c:pt>
                <c:pt idx="19">
                  <c:v>1128.23</c:v>
                </c:pt>
                <c:pt idx="20">
                  <c:v>747.5</c:v>
                </c:pt>
                <c:pt idx="21">
                  <c:v>915.3</c:v>
                </c:pt>
                <c:pt idx="22">
                  <c:v>1233.7</c:v>
                </c:pt>
                <c:pt idx="23">
                  <c:v>1087.3599999999999</c:v>
                </c:pt>
                <c:pt idx="24">
                  <c:v>1214.19</c:v>
                </c:pt>
                <c:pt idx="25">
                  <c:v>891.75</c:v>
                </c:pt>
                <c:pt idx="26">
                  <c:v>1077.1500000000001</c:v>
                </c:pt>
                <c:pt idx="27">
                  <c:v>1056.71</c:v>
                </c:pt>
                <c:pt idx="28">
                  <c:v>877.5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6-4D8F-AE32-C90306598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5974776"/>
        <c:axId val="185975168"/>
      </c:barChart>
      <c:catAx>
        <c:axId val="18597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5168"/>
        <c:crosses val="autoZero"/>
        <c:auto val="1"/>
        <c:lblAlgn val="ctr"/>
        <c:lblOffset val="100"/>
        <c:noMultiLvlLbl val="0"/>
      </c:catAx>
      <c:valAx>
        <c:axId val="18597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39</xdr:row>
      <xdr:rowOff>109536</xdr:rowOff>
    </xdr:from>
    <xdr:to>
      <xdr:col>7</xdr:col>
      <xdr:colOff>438150</xdr:colOff>
      <xdr:row>65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H36" totalsRowShown="0" headerRowDxfId="8">
  <autoFilter ref="A5:H36" xr:uid="{00000000-0009-0000-0100-000001000000}"/>
  <tableColumns count="8">
    <tableColumn id="1" xr3:uid="{00000000-0010-0000-0000-000001000000}" name="Book Name"/>
    <tableColumn id="2" xr3:uid="{00000000-0010-0000-0000-000002000000}" name="Author"/>
    <tableColumn id="3" xr3:uid="{00000000-0010-0000-0000-000003000000}" name="January" dataDxfId="1"/>
    <tableColumn id="4" xr3:uid="{00000000-0010-0000-0000-000004000000}" name="February" dataDxfId="1"/>
    <tableColumn id="5" xr3:uid="{00000000-0010-0000-0000-000005000000}" name="March" dataDxfId="1"/>
    <tableColumn id="6" xr3:uid="{00000000-0010-0000-0000-000006000000}" name="Avarage Sales" dataDxfId="1">
      <calculatedColumnFormula>AVERAGE(C6:E6)</calculatedColumnFormula>
    </tableColumn>
    <tableColumn id="7" xr3:uid="{00000000-0010-0000-0000-000007000000}" name="SELLING STATUS"/>
    <tableColumn id="8" xr3:uid="{00000000-0010-0000-0000-000008000000}" name="TRE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:H36" totalsRowShown="0">
  <autoFilter ref="A5:H36" xr:uid="{00000000-0009-0000-0100-000002000000}"/>
  <tableColumns count="8">
    <tableColumn id="1" xr3:uid="{00000000-0010-0000-0100-000001000000}" name="Book Name"/>
    <tableColumn id="2" xr3:uid="{00000000-0010-0000-0100-000002000000}" name="Author"/>
    <tableColumn id="3" xr3:uid="{00000000-0010-0000-0100-000003000000}" name="April" dataDxfId="1"/>
    <tableColumn id="4" xr3:uid="{00000000-0010-0000-0100-000004000000}" name="May" dataDxfId="1"/>
    <tableColumn id="5" xr3:uid="{00000000-0010-0000-0100-000005000000}" name="June" dataDxfId="1"/>
    <tableColumn id="6" xr3:uid="{00000000-0010-0000-0100-000006000000}" name="AVERAGE">
      <calculatedColumnFormula>AVERAGE(Table2[[#This Row],[April]:[June]])</calculatedColumnFormula>
    </tableColumn>
    <tableColumn id="7" xr3:uid="{00000000-0010-0000-0100-000007000000}" name="SELLING STATUS"/>
    <tableColumn id="9" xr3:uid="{00000000-0010-0000-0100-000009000000}" name="TREN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A3" sqref="A3"/>
    </sheetView>
  </sheetViews>
  <sheetFormatPr defaultRowHeight="15" x14ac:dyDescent="0.25"/>
  <cols>
    <col min="1" max="1" bestFit="1" width="29.85546875" customWidth="1"/>
    <col min="2" max="2" bestFit="1" width="15.7109375" customWidth="1"/>
    <col min="3" max="3" bestFit="1" width="9.85546875" customWidth="1"/>
    <col min="4" max="4" width="11" customWidth="1"/>
    <col min="5" max="5" bestFit="1" width="9.85546875" customWidth="1"/>
    <col min="6" max="6" width="15.28515625" customWidth="1"/>
    <col min="7" max="7" width="17.42578125" customWidth="1"/>
  </cols>
  <sheetData>
    <row r="1" ht="15.75">
      <c r="A1" s="5" t="s">
        <v>0</v>
      </c>
      <c r="B1" s="5"/>
      <c r="C1" s="5"/>
      <c r="D1" s="5"/>
      <c r="E1" s="5"/>
      <c r="F1" s="5"/>
      <c r="G1" s="5"/>
      <c r="H1" s="5"/>
    </row>
    <row r="2" ht="15.75">
      <c r="A2" s="5" t="s">
        <v>1</v>
      </c>
      <c r="B2" s="5"/>
      <c r="C2" s="5"/>
      <c r="D2" s="5"/>
      <c r="E2" s="5"/>
      <c r="F2" s="5"/>
      <c r="G2" s="5"/>
      <c r="H2" s="5"/>
    </row>
    <row r="4">
      <c r="G4" s="6" t="s">
        <v>2</v>
      </c>
      <c r="H4" s="6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>
      <c r="A6" s="0" t="s">
        <v>11</v>
      </c>
      <c r="B6" s="0" t="s">
        <v>12</v>
      </c>
      <c r="C6" s="2">
        <v>343.85</v>
      </c>
      <c r="D6" s="2">
        <v>478.4</v>
      </c>
      <c r="E6" s="2">
        <v>1240.85</v>
      </c>
      <c r="F6" s="2">
        <f>AVERAGE(C6:E6)</f>
        <v>687.69999999999993</v>
      </c>
    </row>
    <row r="7">
      <c r="A7" s="0" t="s">
        <v>13</v>
      </c>
      <c r="B7" s="0" t="s">
        <v>14</v>
      </c>
      <c r="C7" s="2">
        <v>895.44</v>
      </c>
      <c r="D7" s="2">
        <v>1039.93</v>
      </c>
      <c r="E7" s="2">
        <v>1039.3</v>
      </c>
      <c r="F7" s="2">
        <f ref="F7:F36" t="shared" si="0">AVERAGE(C7:E7)</f>
        <v>991.55666666666673</v>
      </c>
    </row>
    <row r="8">
      <c r="A8" s="0" t="s">
        <v>15</v>
      </c>
      <c r="B8" s="0" t="s">
        <v>16</v>
      </c>
      <c r="C8" s="2">
        <v>1073.25</v>
      </c>
      <c r="D8" s="2">
        <v>238.5</v>
      </c>
      <c r="E8" s="2">
        <v>1113</v>
      </c>
      <c r="F8" s="2">
        <f t="shared" si="0"/>
        <v>808.25</v>
      </c>
    </row>
    <row r="9">
      <c r="A9" s="0" t="s">
        <v>17</v>
      </c>
      <c r="B9" s="0" t="s">
        <v>12</v>
      </c>
      <c r="C9" s="2">
        <v>269.82</v>
      </c>
      <c r="D9" s="2">
        <v>1214.19</v>
      </c>
      <c r="E9" s="2">
        <v>749.5</v>
      </c>
      <c r="F9" s="2">
        <f t="shared" si="0"/>
        <v>744.50333333333344</v>
      </c>
    </row>
    <row r="10">
      <c r="A10" s="0" t="s">
        <v>18</v>
      </c>
      <c r="B10" s="0" t="s">
        <v>19</v>
      </c>
      <c r="C10" s="2">
        <v>456.75</v>
      </c>
      <c r="D10" s="2">
        <v>891.75</v>
      </c>
      <c r="E10" s="2">
        <v>1827</v>
      </c>
      <c r="F10" s="2">
        <f t="shared" si="0"/>
        <v>1058.5</v>
      </c>
    </row>
    <row r="11">
      <c r="A11" s="0" t="s">
        <v>20</v>
      </c>
      <c r="B11" s="0" t="s">
        <v>21</v>
      </c>
      <c r="C11" s="2">
        <v>1062.88</v>
      </c>
      <c r="D11" s="2">
        <v>1233.7</v>
      </c>
      <c r="E11" s="2">
        <v>1765.14</v>
      </c>
      <c r="F11" s="2">
        <f t="shared" si="0"/>
        <v>1353.9066666666668</v>
      </c>
    </row>
    <row r="12">
      <c r="A12" s="0" t="s">
        <v>22</v>
      </c>
      <c r="B12" s="0" t="s">
        <v>12</v>
      </c>
      <c r="C12" s="2">
        <v>399.91</v>
      </c>
      <c r="D12" s="2">
        <v>1268.68</v>
      </c>
      <c r="E12" s="2">
        <v>744.66</v>
      </c>
      <c r="F12" s="2">
        <f t="shared" si="0"/>
        <v>804.41666666666663</v>
      </c>
    </row>
    <row r="13">
      <c r="A13" s="0" t="s">
        <v>23</v>
      </c>
      <c r="B13" s="0" t="s">
        <v>24</v>
      </c>
      <c r="C13" s="2">
        <v>749.65</v>
      </c>
      <c r="D13" s="2">
        <v>749.65</v>
      </c>
      <c r="E13" s="2">
        <v>366.85</v>
      </c>
      <c r="F13" s="2">
        <f t="shared" si="0"/>
        <v>622.05000000000007</v>
      </c>
    </row>
    <row r="14">
      <c r="A14" s="0" t="s">
        <v>25</v>
      </c>
      <c r="B14" s="0" t="s">
        <v>26</v>
      </c>
      <c r="C14" s="2">
        <v>675.48</v>
      </c>
      <c r="D14" s="2">
        <v>324.75</v>
      </c>
      <c r="E14" s="2">
        <v>727.44</v>
      </c>
      <c r="F14" s="2">
        <f t="shared" si="0"/>
        <v>575.89</v>
      </c>
    </row>
    <row r="15">
      <c r="A15" s="0" t="s">
        <v>27</v>
      </c>
      <c r="B15" s="0" t="s">
        <v>28</v>
      </c>
      <c r="C15" s="2">
        <v>966.15</v>
      </c>
      <c r="D15" s="2">
        <v>1271.25</v>
      </c>
      <c r="E15" s="2">
        <v>542.4</v>
      </c>
      <c r="F15" s="2">
        <f t="shared" si="0"/>
        <v>926.6</v>
      </c>
    </row>
    <row r="16">
      <c r="A16" s="0" t="s">
        <v>29</v>
      </c>
      <c r="B16" s="0" t="s">
        <v>12</v>
      </c>
      <c r="C16" s="2">
        <v>193.62</v>
      </c>
      <c r="D16" s="2">
        <v>1078.17</v>
      </c>
      <c r="E16" s="2">
        <v>844.25</v>
      </c>
      <c r="F16" s="2">
        <f t="shared" si="0"/>
        <v>705.34666666666669</v>
      </c>
    </row>
    <row r="17">
      <c r="A17" s="0" t="s">
        <v>30</v>
      </c>
      <c r="B17" s="0" t="s">
        <v>19</v>
      </c>
      <c r="C17" s="2">
        <v>756</v>
      </c>
      <c r="D17" s="2">
        <v>877.5</v>
      </c>
      <c r="E17" s="2">
        <v>243</v>
      </c>
      <c r="F17" s="2">
        <f t="shared" si="0"/>
        <v>625.5</v>
      </c>
    </row>
    <row r="18">
      <c r="A18" s="0" t="s">
        <v>31</v>
      </c>
      <c r="B18" s="0" t="s">
        <v>28</v>
      </c>
      <c r="C18" s="2">
        <v>929.5</v>
      </c>
      <c r="D18" s="2">
        <v>1591.8</v>
      </c>
      <c r="E18" s="2">
        <v>1534.95</v>
      </c>
      <c r="F18" s="2">
        <f t="shared" si="0"/>
        <v>1352.0833333333333</v>
      </c>
    </row>
    <row r="19">
      <c r="A19" s="0" t="s">
        <v>32</v>
      </c>
      <c r="B19" s="0" t="s">
        <v>24</v>
      </c>
      <c r="C19" s="2">
        <v>747.5</v>
      </c>
      <c r="D19" s="2">
        <v>747.5</v>
      </c>
      <c r="E19" s="2">
        <v>612.95</v>
      </c>
      <c r="F19" s="2">
        <f t="shared" si="0"/>
        <v>702.65</v>
      </c>
    </row>
    <row r="20">
      <c r="A20" s="0" t="s">
        <v>33</v>
      </c>
      <c r="B20" s="0" t="s">
        <v>34</v>
      </c>
      <c r="C20" s="2">
        <v>719.04</v>
      </c>
      <c r="D20" s="2">
        <v>1258.32</v>
      </c>
      <c r="E20" s="2">
        <v>973.65</v>
      </c>
      <c r="F20" s="2">
        <f t="shared" si="0"/>
        <v>983.67</v>
      </c>
    </row>
    <row r="21">
      <c r="A21" s="0" t="s">
        <v>35</v>
      </c>
      <c r="B21" s="0" t="s">
        <v>34</v>
      </c>
      <c r="C21" s="2">
        <v>506.61</v>
      </c>
      <c r="D21" s="2">
        <v>1208.07</v>
      </c>
      <c r="E21" s="2">
        <v>1195.08</v>
      </c>
      <c r="F21" s="2">
        <f t="shared" si="0"/>
        <v>969.92</v>
      </c>
    </row>
    <row r="22">
      <c r="A22" s="0" t="s">
        <v>36</v>
      </c>
      <c r="B22" s="0" t="s">
        <v>21</v>
      </c>
      <c r="C22" s="2">
        <v>949.2</v>
      </c>
      <c r="D22" s="2">
        <v>915.3</v>
      </c>
      <c r="E22" s="2">
        <v>765.65</v>
      </c>
      <c r="F22" s="2">
        <f t="shared" si="0"/>
        <v>876.7166666666667</v>
      </c>
    </row>
    <row r="23">
      <c r="A23" s="0" t="s">
        <v>37</v>
      </c>
      <c r="B23" s="0" t="s">
        <v>38</v>
      </c>
      <c r="C23" s="2">
        <v>510.4</v>
      </c>
      <c r="D23" s="2">
        <v>366.85</v>
      </c>
      <c r="E23" s="2">
        <v>398.75</v>
      </c>
      <c r="F23" s="2">
        <f t="shared" si="0"/>
        <v>425.33333333333331</v>
      </c>
    </row>
    <row r="24">
      <c r="A24" s="0" t="s">
        <v>39</v>
      </c>
      <c r="B24" s="0" t="s">
        <v>40</v>
      </c>
      <c r="C24" s="2">
        <v>1153.75</v>
      </c>
      <c r="D24" s="2">
        <v>994</v>
      </c>
      <c r="E24" s="2">
        <v>1331.25</v>
      </c>
      <c r="F24" s="2">
        <f t="shared" si="0"/>
        <v>1159.6666666666667</v>
      </c>
    </row>
    <row r="25">
      <c r="A25" s="0" t="s">
        <v>41</v>
      </c>
      <c r="B25" s="0" t="s">
        <v>40</v>
      </c>
      <c r="C25" s="2">
        <v>807.14</v>
      </c>
      <c r="D25" s="2">
        <v>1036.28</v>
      </c>
      <c r="E25" s="2">
        <v>760.4</v>
      </c>
      <c r="F25" s="2">
        <f t="shared" si="0"/>
        <v>867.94</v>
      </c>
    </row>
    <row r="26">
      <c r="A26" s="0" t="s">
        <v>42</v>
      </c>
      <c r="B26" s="0" t="s">
        <v>43</v>
      </c>
      <c r="C26" s="2">
        <v>817.55</v>
      </c>
      <c r="D26" s="2">
        <v>1046.5</v>
      </c>
      <c r="E26" s="2">
        <v>741.62</v>
      </c>
      <c r="F26" s="2">
        <f t="shared" si="0"/>
        <v>868.55666666666673</v>
      </c>
    </row>
    <row r="27">
      <c r="A27" s="0" t="s">
        <v>44</v>
      </c>
      <c r="B27" s="0" t="s">
        <v>45</v>
      </c>
      <c r="C27" s="2">
        <v>827.95</v>
      </c>
      <c r="D27" s="2">
        <v>1056.71</v>
      </c>
      <c r="E27" s="2">
        <v>722.84</v>
      </c>
      <c r="F27" s="2">
        <f t="shared" si="0"/>
        <v>869.16666666666663</v>
      </c>
    </row>
    <row r="28">
      <c r="A28" s="0" t="s">
        <v>46</v>
      </c>
      <c r="B28" s="0" t="s">
        <v>47</v>
      </c>
      <c r="C28" s="2">
        <v>838.36</v>
      </c>
      <c r="D28" s="2">
        <v>1066.93</v>
      </c>
      <c r="E28" s="2">
        <v>704.06</v>
      </c>
      <c r="F28" s="2">
        <f t="shared" si="0"/>
        <v>869.7833333333333</v>
      </c>
    </row>
    <row r="29">
      <c r="A29" s="0" t="s">
        <v>48</v>
      </c>
      <c r="B29" s="0" t="s">
        <v>49</v>
      </c>
      <c r="C29" s="2">
        <v>848.76</v>
      </c>
      <c r="D29" s="2">
        <v>1077.15</v>
      </c>
      <c r="E29" s="2">
        <v>685.28</v>
      </c>
      <c r="F29" s="2">
        <f t="shared" si="0"/>
        <v>870.39666666666665</v>
      </c>
    </row>
    <row r="30">
      <c r="A30" s="0" t="s">
        <v>50</v>
      </c>
      <c r="B30" s="0" t="s">
        <v>51</v>
      </c>
      <c r="C30" s="2">
        <v>859.17</v>
      </c>
      <c r="D30" s="2">
        <v>1087.36</v>
      </c>
      <c r="E30" s="2">
        <v>666.5</v>
      </c>
      <c r="F30" s="2">
        <f t="shared" si="0"/>
        <v>871.00999999999988</v>
      </c>
    </row>
    <row r="31">
      <c r="A31" s="0" t="s">
        <v>52</v>
      </c>
      <c r="B31" s="0" t="s">
        <v>53</v>
      </c>
      <c r="C31" s="2">
        <v>869.57</v>
      </c>
      <c r="D31" s="2">
        <v>1097.58</v>
      </c>
      <c r="E31" s="2">
        <v>647.72</v>
      </c>
      <c r="F31" s="2">
        <f t="shared" si="0"/>
        <v>871.62333333333333</v>
      </c>
    </row>
    <row r="32">
      <c r="A32" s="0" t="s">
        <v>54</v>
      </c>
      <c r="B32" s="0" t="s">
        <v>55</v>
      </c>
      <c r="C32" s="2">
        <v>879.98</v>
      </c>
      <c r="D32" s="2">
        <v>1107.8</v>
      </c>
      <c r="E32" s="2">
        <v>628.94</v>
      </c>
      <c r="F32" s="2">
        <f t="shared" si="0"/>
        <v>872.24000000000012</v>
      </c>
    </row>
    <row r="33">
      <c r="A33" s="0" t="s">
        <v>56</v>
      </c>
      <c r="B33" s="0" t="s">
        <v>57</v>
      </c>
      <c r="C33" s="2">
        <v>890.38</v>
      </c>
      <c r="D33" s="2">
        <v>1118.01</v>
      </c>
      <c r="E33" s="2">
        <v>610.16</v>
      </c>
      <c r="F33" s="2">
        <f t="shared" si="0"/>
        <v>872.84999999999991</v>
      </c>
    </row>
    <row r="34">
      <c r="A34" s="0" t="s">
        <v>58</v>
      </c>
      <c r="B34" s="0" t="s">
        <v>59</v>
      </c>
      <c r="C34" s="2">
        <v>900.79</v>
      </c>
      <c r="D34" s="2">
        <v>1128.23</v>
      </c>
      <c r="E34" s="2">
        <v>591.38</v>
      </c>
      <c r="F34" s="2">
        <f t="shared" si="0"/>
        <v>873.4666666666667</v>
      </c>
    </row>
    <row r="35">
      <c r="A35" s="0" t="s">
        <v>60</v>
      </c>
      <c r="B35" s="0" t="s">
        <v>61</v>
      </c>
      <c r="C35" s="2">
        <v>911.19</v>
      </c>
      <c r="D35" s="2">
        <v>1138.44</v>
      </c>
      <c r="E35" s="2">
        <v>572.6</v>
      </c>
      <c r="F35" s="2">
        <f t="shared" si="0"/>
        <v>874.07666666666671</v>
      </c>
    </row>
    <row r="36">
      <c r="A36" s="0" t="s">
        <v>62</v>
      </c>
      <c r="B36" s="0" t="s">
        <v>63</v>
      </c>
      <c r="C36" s="2">
        <v>921.59</v>
      </c>
      <c r="D36" s="2">
        <v>1148.66</v>
      </c>
      <c r="E36" s="2">
        <v>553.82</v>
      </c>
      <c r="F36" s="2">
        <f t="shared" si="0"/>
        <v>874.69</v>
      </c>
    </row>
    <row r="40">
      <c r="B40" s="0" t="s">
        <v>64</v>
      </c>
    </row>
  </sheetData>
  <mergeCells>
    <mergeCell ref="A1:H1"/>
    <mergeCell ref="A2:H2"/>
    <mergeCell ref="G4:H4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selection activeCell="H12" sqref="H12"/>
    </sheetView>
  </sheetViews>
  <sheetFormatPr defaultRowHeight="15" x14ac:dyDescent="0.25"/>
  <cols>
    <col min="1" max="1" bestFit="1" width="29.85546875" customWidth="1"/>
    <col min="2" max="2" bestFit="1" width="15.7109375" customWidth="1"/>
    <col min="3" max="5" bestFit="1" width="9.85546875" customWidth="1"/>
    <col min="6" max="6" bestFit="1" width="11.7109375" customWidth="1"/>
    <col min="7" max="7" bestFit="1" width="17.7109375" customWidth="1"/>
  </cols>
  <sheetData>
    <row r="1">
      <c r="A1" s="8" t="s">
        <v>0</v>
      </c>
      <c r="B1" s="9"/>
      <c r="C1" s="9"/>
      <c r="D1" s="9"/>
      <c r="E1" s="9"/>
      <c r="F1" s="9"/>
      <c r="G1" s="9"/>
      <c r="H1" s="10"/>
    </row>
    <row r="2">
      <c r="A2" s="8" t="s">
        <v>65</v>
      </c>
      <c r="B2" s="9"/>
      <c r="C2" s="9"/>
      <c r="D2" s="9"/>
      <c r="E2" s="9"/>
      <c r="F2" s="9"/>
      <c r="G2" s="9"/>
      <c r="H2" s="10"/>
    </row>
    <row r="3">
      <c r="F3" s="3"/>
      <c r="G3" s="3"/>
      <c r="H3" s="3"/>
    </row>
    <row r="4">
      <c r="F4" s="7" t="s">
        <v>66</v>
      </c>
      <c r="G4" s="7"/>
      <c r="H4" s="7"/>
    </row>
    <row r="5">
      <c r="A5" s="0" t="s">
        <v>3</v>
      </c>
      <c r="B5" s="0" t="s">
        <v>4</v>
      </c>
      <c r="C5" s="0" t="s">
        <v>67</v>
      </c>
      <c r="D5" s="0" t="s">
        <v>68</v>
      </c>
      <c r="E5" s="0" t="s">
        <v>69</v>
      </c>
      <c r="F5" s="0" t="s">
        <v>70</v>
      </c>
      <c r="G5" s="0" t="s">
        <v>9</v>
      </c>
      <c r="H5" s="0" t="s">
        <v>10</v>
      </c>
    </row>
    <row r="6">
      <c r="A6" s="0" t="s">
        <v>42</v>
      </c>
      <c r="B6" s="0" t="s">
        <v>43</v>
      </c>
      <c r="C6" s="2">
        <v>890.95</v>
      </c>
      <c r="D6" s="2">
        <v>1046.5</v>
      </c>
      <c r="E6" s="2">
        <v>741.62</v>
      </c>
      <c r="F6" s="0">
        <f>AVERAGE(Table2[[#This Row],[April]:[June]])</f>
        <v>893.02333333333343</v>
      </c>
    </row>
    <row r="7">
      <c r="A7" s="0" t="s">
        <v>35</v>
      </c>
      <c r="B7" s="0" t="s">
        <v>34</v>
      </c>
      <c r="C7" s="2">
        <v>996.2</v>
      </c>
      <c r="D7" s="2">
        <v>1208.07</v>
      </c>
      <c r="E7" s="2">
        <v>1195.08</v>
      </c>
      <c r="F7" s="0">
        <f>AVERAGE(Table2[[#This Row],[April]:[June]])</f>
        <v>1133.1166666666666</v>
      </c>
    </row>
    <row r="8">
      <c r="A8" s="0" t="s">
        <v>13</v>
      </c>
      <c r="B8" s="0" t="s">
        <v>14</v>
      </c>
      <c r="C8" s="2">
        <v>945.44</v>
      </c>
      <c r="D8" s="2">
        <v>1039.93</v>
      </c>
      <c r="E8" s="2">
        <v>1039.3</v>
      </c>
      <c r="F8" s="0">
        <f>AVERAGE(Table2[[#This Row],[April]:[June]])</f>
        <v>1008.2233333333334</v>
      </c>
    </row>
    <row r="9">
      <c r="A9" s="0" t="s">
        <v>60</v>
      </c>
      <c r="B9" s="0" t="s">
        <v>61</v>
      </c>
      <c r="C9" s="2">
        <v>993.59</v>
      </c>
      <c r="D9" s="2">
        <v>1138.44</v>
      </c>
      <c r="E9" s="2">
        <v>572.6</v>
      </c>
      <c r="F9" s="0">
        <f>AVERAGE(Table2[[#This Row],[April]:[June]])</f>
        <v>901.54333333333341</v>
      </c>
    </row>
    <row r="10">
      <c r="A10" s="0" t="s">
        <v>39</v>
      </c>
      <c r="B10" s="0" t="s">
        <v>40</v>
      </c>
      <c r="C10" s="2">
        <v>807.14</v>
      </c>
      <c r="D10" s="2">
        <v>994</v>
      </c>
      <c r="E10" s="2">
        <v>1331.25</v>
      </c>
      <c r="F10" s="0">
        <f>AVERAGE(Table2[[#This Row],[April]:[June]])</f>
        <v>1044.1299999999999</v>
      </c>
    </row>
    <row r="11">
      <c r="A11" s="0" t="s">
        <v>33</v>
      </c>
      <c r="B11" s="0" t="s">
        <v>34</v>
      </c>
      <c r="C11" s="2">
        <v>562.61</v>
      </c>
      <c r="D11" s="2">
        <v>1258.32</v>
      </c>
      <c r="E11" s="2">
        <v>973.65</v>
      </c>
      <c r="F11" s="0">
        <f>AVERAGE(Table2[[#This Row],[April]:[June]])</f>
        <v>931.52666666666664</v>
      </c>
    </row>
    <row r="12">
      <c r="A12" s="0" t="s">
        <v>27</v>
      </c>
      <c r="B12" s="0" t="s">
        <v>28</v>
      </c>
      <c r="C12" s="2">
        <v>1006.15</v>
      </c>
      <c r="D12" s="2">
        <v>1271.25</v>
      </c>
      <c r="E12" s="2">
        <v>542.4</v>
      </c>
      <c r="F12" s="0">
        <f>AVERAGE(Table2[[#This Row],[April]:[June]])</f>
        <v>939.93333333333339</v>
      </c>
    </row>
    <row r="13">
      <c r="A13" s="0" t="s">
        <v>52</v>
      </c>
      <c r="B13" s="0" t="s">
        <v>53</v>
      </c>
      <c r="C13" s="2">
        <v>941.98</v>
      </c>
      <c r="D13" s="2">
        <v>1097.58</v>
      </c>
      <c r="E13" s="2">
        <v>647.72</v>
      </c>
      <c r="F13" s="0">
        <f>AVERAGE(Table2[[#This Row],[April]:[June]])</f>
        <v>895.75999999999988</v>
      </c>
    </row>
    <row r="14">
      <c r="A14" s="0" t="s">
        <v>22</v>
      </c>
      <c r="B14" s="0" t="s">
        <v>12</v>
      </c>
      <c r="C14" s="2">
        <v>428.91</v>
      </c>
      <c r="D14" s="2">
        <v>1268.68</v>
      </c>
      <c r="E14" s="2">
        <v>744.66</v>
      </c>
      <c r="F14" s="0">
        <f>AVERAGE(Table2[[#This Row],[April]:[June]])</f>
        <v>814.08333333333337</v>
      </c>
    </row>
    <row r="15">
      <c r="A15" s="0" t="s">
        <v>23</v>
      </c>
      <c r="B15" s="0" t="s">
        <v>24</v>
      </c>
      <c r="C15" s="2">
        <v>780.65</v>
      </c>
      <c r="D15" s="2">
        <v>749.65</v>
      </c>
      <c r="E15" s="2">
        <v>366.85</v>
      </c>
      <c r="F15" s="0">
        <f>AVERAGE(Table2[[#This Row],[April]:[June]])</f>
        <v>632.38333333333333</v>
      </c>
    </row>
    <row r="16">
      <c r="A16" s="0" t="s">
        <v>62</v>
      </c>
      <c r="B16" s="0" t="s">
        <v>63</v>
      </c>
      <c r="C16" s="2">
        <v>993.59</v>
      </c>
      <c r="D16" s="2">
        <v>1148.66</v>
      </c>
      <c r="E16" s="2">
        <v>553.82</v>
      </c>
      <c r="F16" s="0">
        <f>AVERAGE(Table2[[#This Row],[April]:[June]])</f>
        <v>898.69</v>
      </c>
    </row>
    <row r="17">
      <c r="A17" s="0" t="s">
        <v>25</v>
      </c>
      <c r="B17" s="0" t="s">
        <v>26</v>
      </c>
      <c r="C17" s="2">
        <v>721.48</v>
      </c>
      <c r="D17" s="2">
        <v>324.75</v>
      </c>
      <c r="E17" s="2">
        <v>727.44</v>
      </c>
      <c r="F17" s="0">
        <f>AVERAGE(Table2[[#This Row],[April]:[June]])</f>
        <v>591.22333333333336</v>
      </c>
    </row>
    <row r="18">
      <c r="A18" s="0" t="s">
        <v>54</v>
      </c>
      <c r="B18" s="0" t="s">
        <v>55</v>
      </c>
      <c r="C18" s="2">
        <v>949.38</v>
      </c>
      <c r="D18" s="2">
        <v>1107.8</v>
      </c>
      <c r="E18" s="2">
        <v>628.94</v>
      </c>
      <c r="F18" s="0">
        <f>AVERAGE(Table2[[#This Row],[April]:[June]])</f>
        <v>895.37333333333333</v>
      </c>
    </row>
    <row r="19">
      <c r="A19" s="0" t="s">
        <v>37</v>
      </c>
      <c r="B19" s="0" t="s">
        <v>38</v>
      </c>
      <c r="C19" s="2">
        <v>1180.75</v>
      </c>
      <c r="D19" s="2">
        <v>366.85</v>
      </c>
      <c r="E19" s="2">
        <v>398.75</v>
      </c>
      <c r="F19" s="0">
        <f>AVERAGE(Table2[[#This Row],[April]:[June]])</f>
        <v>648.7833333333333</v>
      </c>
    </row>
    <row r="20">
      <c r="A20" s="0" t="s">
        <v>15</v>
      </c>
      <c r="B20" s="0" t="s">
        <v>16</v>
      </c>
      <c r="C20" s="2">
        <v>1124.25</v>
      </c>
      <c r="D20" s="2">
        <v>238.5</v>
      </c>
      <c r="E20" s="2">
        <v>1113</v>
      </c>
      <c r="F20" s="0">
        <f>AVERAGE(Table2[[#This Row],[April]:[June]])</f>
        <v>825.25</v>
      </c>
    </row>
    <row r="21">
      <c r="A21" s="0" t="s">
        <v>56</v>
      </c>
      <c r="B21" s="0" t="s">
        <v>57</v>
      </c>
      <c r="C21" s="2">
        <v>949.79</v>
      </c>
      <c r="D21" s="2">
        <v>1118.01</v>
      </c>
      <c r="E21" s="2">
        <v>610.16</v>
      </c>
      <c r="F21" s="0">
        <f>AVERAGE(Table2[[#This Row],[April]:[June]])</f>
        <v>892.65333333333331</v>
      </c>
    </row>
    <row r="22">
      <c r="A22" s="0" t="s">
        <v>11</v>
      </c>
      <c r="B22" s="0" t="s">
        <v>12</v>
      </c>
      <c r="C22" s="2">
        <v>396.85</v>
      </c>
      <c r="D22" s="2">
        <v>478.4</v>
      </c>
      <c r="E22" s="2">
        <v>1240.85</v>
      </c>
      <c r="F22" s="0">
        <f>AVERAGE(Table2[[#This Row],[April]:[June]])</f>
        <v>705.36666666666667</v>
      </c>
    </row>
    <row r="23">
      <c r="A23" s="0" t="s">
        <v>46</v>
      </c>
      <c r="B23" s="0" t="s">
        <v>47</v>
      </c>
      <c r="C23" s="2">
        <v>912.76</v>
      </c>
      <c r="D23" s="2">
        <v>1066.93</v>
      </c>
      <c r="E23" s="2">
        <v>704.06</v>
      </c>
      <c r="F23" s="0">
        <f>AVERAGE(Table2[[#This Row],[April]:[June]])</f>
        <v>894.58333333333337</v>
      </c>
    </row>
    <row r="24">
      <c r="A24" s="0" t="s">
        <v>41</v>
      </c>
      <c r="B24" s="0" t="s">
        <v>40</v>
      </c>
      <c r="C24" s="2">
        <v>872.55</v>
      </c>
      <c r="D24" s="2">
        <v>1036.28</v>
      </c>
      <c r="E24" s="2">
        <v>760.4</v>
      </c>
      <c r="F24" s="0">
        <f>AVERAGE(Table2[[#This Row],[April]:[June]])</f>
        <v>889.74333333333334</v>
      </c>
    </row>
    <row r="25">
      <c r="A25" s="0" t="s">
        <v>58</v>
      </c>
      <c r="B25" s="0" t="s">
        <v>59</v>
      </c>
      <c r="C25" s="2">
        <v>978.19</v>
      </c>
      <c r="D25" s="2">
        <v>1128.23</v>
      </c>
      <c r="E25" s="2">
        <v>591.38</v>
      </c>
      <c r="F25" s="0">
        <f>AVERAGE(Table2[[#This Row],[April]:[June]])</f>
        <v>899.26666666666677</v>
      </c>
    </row>
    <row r="26">
      <c r="A26" s="0" t="s">
        <v>32</v>
      </c>
      <c r="B26" s="0" t="s">
        <v>24</v>
      </c>
      <c r="C26" s="2">
        <v>783.04</v>
      </c>
      <c r="D26" s="2">
        <v>747.5</v>
      </c>
      <c r="E26" s="2">
        <v>612.95</v>
      </c>
      <c r="F26" s="0">
        <f>AVERAGE(Table2[[#This Row],[April]:[June]])</f>
        <v>714.49666666666656</v>
      </c>
    </row>
    <row r="27">
      <c r="A27" s="0" t="s">
        <v>36</v>
      </c>
      <c r="B27" s="0" t="s">
        <v>21</v>
      </c>
      <c r="C27" s="2">
        <v>497.4</v>
      </c>
      <c r="D27" s="2">
        <v>915.3</v>
      </c>
      <c r="E27" s="2">
        <v>765.65</v>
      </c>
      <c r="F27" s="0">
        <f>AVERAGE(Table2[[#This Row],[April]:[June]])</f>
        <v>726.11666666666667</v>
      </c>
    </row>
    <row r="28">
      <c r="A28" s="0" t="s">
        <v>20</v>
      </c>
      <c r="B28" s="0" t="s">
        <v>21</v>
      </c>
      <c r="C28" s="2">
        <v>1104.88</v>
      </c>
      <c r="D28" s="2">
        <v>1233.7</v>
      </c>
      <c r="E28" s="2">
        <v>1765.14</v>
      </c>
      <c r="F28" s="0">
        <f>AVERAGE(Table2[[#This Row],[April]:[June]])</f>
        <v>1367.9066666666668</v>
      </c>
    </row>
    <row r="29">
      <c r="A29" s="0" t="s">
        <v>50</v>
      </c>
      <c r="B29" s="0" t="s">
        <v>51</v>
      </c>
      <c r="C29" s="2">
        <v>932.57</v>
      </c>
      <c r="D29" s="2">
        <v>1087.36</v>
      </c>
      <c r="E29" s="2">
        <v>666.5</v>
      </c>
      <c r="F29" s="0">
        <f>AVERAGE(Table2[[#This Row],[April]:[June]])</f>
        <v>895.47666666666657</v>
      </c>
    </row>
    <row r="30">
      <c r="A30" s="0" t="s">
        <v>17</v>
      </c>
      <c r="B30" s="0" t="s">
        <v>12</v>
      </c>
      <c r="C30" s="2">
        <v>307.82</v>
      </c>
      <c r="D30" s="2">
        <v>1214.19</v>
      </c>
      <c r="E30" s="2">
        <v>749.5</v>
      </c>
      <c r="F30" s="0">
        <f>AVERAGE(Table2[[#This Row],[April]:[June]])</f>
        <v>757.17000000000007</v>
      </c>
    </row>
    <row r="31">
      <c r="A31" s="0" t="s">
        <v>18</v>
      </c>
      <c r="B31" s="0" t="s">
        <v>19</v>
      </c>
      <c r="C31" s="2">
        <v>497.75</v>
      </c>
      <c r="D31" s="2">
        <v>891.75</v>
      </c>
      <c r="E31" s="2">
        <v>1827</v>
      </c>
      <c r="F31" s="0">
        <f>AVERAGE(Table2[[#This Row],[April]:[June]])</f>
        <v>1072.1666666666667</v>
      </c>
    </row>
    <row r="32">
      <c r="A32" s="0" t="s">
        <v>48</v>
      </c>
      <c r="B32" s="0" t="s">
        <v>49</v>
      </c>
      <c r="C32" s="2">
        <v>941.17</v>
      </c>
      <c r="D32" s="2">
        <v>1077.15</v>
      </c>
      <c r="E32" s="2">
        <v>685.28</v>
      </c>
      <c r="F32" s="0">
        <f>AVERAGE(Table2[[#This Row],[April]:[June]])</f>
        <v>901.20000000000016</v>
      </c>
    </row>
    <row r="33">
      <c r="A33" s="0" t="s">
        <v>44</v>
      </c>
      <c r="B33" s="0" t="s">
        <v>45</v>
      </c>
      <c r="C33" s="2">
        <v>909.36</v>
      </c>
      <c r="D33" s="2">
        <v>1056.71</v>
      </c>
      <c r="E33" s="2">
        <v>722.84</v>
      </c>
      <c r="F33" s="0">
        <f>AVERAGE(Table2[[#This Row],[April]:[June]])</f>
        <v>896.3033333333334</v>
      </c>
    </row>
    <row r="34">
      <c r="A34" s="0" t="s">
        <v>30</v>
      </c>
      <c r="B34" s="0" t="s">
        <v>19</v>
      </c>
      <c r="C34" s="2">
        <v>744</v>
      </c>
      <c r="D34" s="2">
        <v>877.5</v>
      </c>
      <c r="E34" s="2">
        <v>243</v>
      </c>
      <c r="F34" s="0">
        <f>AVERAGE(Table2[[#This Row],[April]:[June]])</f>
        <v>621.5</v>
      </c>
    </row>
    <row r="35">
      <c r="A35" s="0" t="s">
        <v>29</v>
      </c>
      <c r="B35" s="0" t="s">
        <v>12</v>
      </c>
      <c r="C35" s="2">
        <v>249.62</v>
      </c>
      <c r="D35" s="2">
        <v>1078.17</v>
      </c>
      <c r="E35" s="2">
        <v>844.25</v>
      </c>
      <c r="F35" s="0">
        <f>AVERAGE(Table2[[#This Row],[April]:[June]])</f>
        <v>724.01333333333332</v>
      </c>
    </row>
    <row r="36">
      <c r="A36" s="0" t="s">
        <v>31</v>
      </c>
      <c r="B36" s="0" t="s">
        <v>28</v>
      </c>
      <c r="C36" s="2">
        <v>1772</v>
      </c>
      <c r="D36" s="2">
        <v>1591.8</v>
      </c>
      <c r="E36" s="2">
        <v>1534.95</v>
      </c>
      <c r="F36" s="0">
        <f>AVERAGE(Table2[[#This Row],[April]:[June]])</f>
        <v>1632.9166666666667</v>
      </c>
    </row>
    <row r="38">
      <c r="A38" s="4" t="s">
        <v>64</v>
      </c>
    </row>
  </sheetData>
  <mergeCells>
    <mergeCell ref="F4:H4"/>
    <mergeCell ref="A2:H2"/>
    <mergeCell ref="A1:H1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Sales</vt:lpstr>
      <vt:lpstr>Q2 Sales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2025-07-08T10:12:01Z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