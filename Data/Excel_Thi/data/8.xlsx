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ll7390\Desktop\TEST EXCEL_11P\"/>
    </mc:Choice>
  </mc:AlternateContent>
  <xr:revisionPtr revIDLastSave="0" documentId="13_ncr:1_{7D60D186-D00D-4B28-AF99-8E273E36BD72}" xr6:coauthVersionLast="36" xr6:coauthVersionMax="47" xr10:uidLastSave="{00000000-0000-0000-0000-000000000000}"/>
  <bookViews>
    <workbookView xWindow="-120" yWindow="-36" windowWidth="28920" windowHeight="12960" activeTab="3" xr2:uid="{00000000-000D-0000-FFFF-FFFF00000000}"/>
  </bookViews>
  <sheets>
    <sheet name="January" sheetId="1" r:id="rId1"/>
    <sheet name="February" sheetId="2" r:id="rId2"/>
    <sheet name="March" sheetId="3" r:id="rId3"/>
    <sheet name="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3" l="1"/>
  <c r="F12" i="3"/>
  <c r="G11" i="3"/>
  <c r="F11" i="3"/>
  <c r="G5" i="3"/>
  <c r="G6" i="3"/>
  <c r="G7" i="3"/>
  <c r="G8" i="3"/>
  <c r="G9" i="3"/>
  <c r="G10" i="3"/>
  <c r="G13" i="3"/>
  <c r="G14" i="3"/>
  <c r="G15" i="3"/>
  <c r="G16" i="3"/>
  <c r="G17" i="3"/>
  <c r="G18" i="3"/>
  <c r="G19" i="3"/>
  <c r="G20" i="3"/>
  <c r="G21" i="3"/>
  <c r="G22" i="3"/>
  <c r="G23" i="3"/>
  <c r="G24" i="3"/>
  <c r="G6" i="1"/>
  <c r="G5" i="1"/>
  <c r="F5" i="3"/>
  <c r="F6" i="3"/>
  <c r="F7" i="3"/>
  <c r="F8" i="3"/>
  <c r="F9" i="3"/>
  <c r="F10" i="3"/>
  <c r="F13" i="3"/>
  <c r="F14" i="3"/>
  <c r="F15" i="3"/>
  <c r="F16" i="3"/>
  <c r="F17" i="3"/>
  <c r="F18" i="3"/>
  <c r="F19" i="3"/>
  <c r="F20" i="3"/>
  <c r="F21" i="3"/>
  <c r="F22" i="3"/>
  <c r="F23" i="3"/>
  <c r="F24" i="3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5" i="1"/>
</calcChain>
</file>

<file path=xl/sharedStrings.xml><?xml version="1.0" encoding="utf-8"?>
<sst xmlns="http://schemas.openxmlformats.org/spreadsheetml/2006/main" count="143" uniqueCount="118">
  <si>
    <t>Humongous Insurance</t>
  </si>
  <si>
    <t>Polices Due for Renewal</t>
  </si>
  <si>
    <t>Client ID</t>
  </si>
  <si>
    <t xml:space="preserve">Policy Number </t>
  </si>
  <si>
    <t>VIN Number</t>
  </si>
  <si>
    <t>Renewal Date</t>
  </si>
  <si>
    <t>Years as Member</t>
  </si>
  <si>
    <t xml:space="preserve">Policy Type </t>
  </si>
  <si>
    <t>Discount</t>
  </si>
  <si>
    <t>Policy Types</t>
  </si>
  <si>
    <t>MP: Multi Policy 
SP: Single Policy BP: Business Policy</t>
  </si>
  <si>
    <t>2XXGI1A13DG031332</t>
  </si>
  <si>
    <t>3FRXF1FE1BV110231</t>
  </si>
  <si>
    <t>2GTDC11H2F1220202</t>
  </si>
  <si>
    <t>1G2FK13C0DF131232</t>
  </si>
  <si>
    <t>2FNDA21U3IBA33213</t>
  </si>
  <si>
    <t>1GNEC13R1XJ33313</t>
  </si>
  <si>
    <t>LM1AC113GT$DT1211</t>
  </si>
  <si>
    <t>2KRD509222H321232</t>
  </si>
  <si>
    <t>1GBT1H1J2JTX73022</t>
  </si>
  <si>
    <t>95HYTB3XORS063232</t>
  </si>
  <si>
    <t>97HTB03R3K2295F823</t>
  </si>
  <si>
    <t>LM1AC113321121211</t>
  </si>
  <si>
    <t>2HGES12222H3321232</t>
  </si>
  <si>
    <t>1GBT1H1J2WJ122322</t>
  </si>
  <si>
    <t>1NKDLB3X0RS332232</t>
  </si>
  <si>
    <t>1GCBS12R3K2221323</t>
  </si>
  <si>
    <t>BP-555222</t>
  </si>
  <si>
    <t>SP-522252</t>
  </si>
  <si>
    <t>SP-253503</t>
  </si>
  <si>
    <t>January =</t>
  </si>
  <si>
    <t>Renewal Summary</t>
  </si>
  <si>
    <t xml:space="preserve">Month </t>
  </si>
  <si>
    <t>Policies</t>
  </si>
  <si>
    <t>Mar</t>
  </si>
  <si>
    <t>Feb</t>
  </si>
  <si>
    <t>Jan</t>
  </si>
  <si>
    <t>MP: Multi Policy
SP: Single Policy</t>
  </si>
  <si>
    <t>March =</t>
  </si>
  <si>
    <t>February =</t>
  </si>
  <si>
    <t>BP-202332</t>
  </si>
  <si>
    <t>MP-222132</t>
  </si>
  <si>
    <t>SP-123130</t>
  </si>
  <si>
    <t>BP-100138</t>
  </si>
  <si>
    <t>SP-110880</t>
  </si>
  <si>
    <t>MP-318388</t>
  </si>
  <si>
    <t>SP-210033</t>
  </si>
  <si>
    <t>MP-133233</t>
  </si>
  <si>
    <t>BP-100132</t>
  </si>
  <si>
    <t>SP-110220</t>
  </si>
  <si>
    <t>MP-712722</t>
  </si>
  <si>
    <t>SP-210077</t>
  </si>
  <si>
    <t>MP-199299</t>
  </si>
  <si>
    <t>MP-48693</t>
  </si>
  <si>
    <t>SP-45863</t>
  </si>
  <si>
    <t>MP-45823</t>
  </si>
  <si>
    <t>BP-48653</t>
  </si>
  <si>
    <t>BP-48795</t>
  </si>
  <si>
    <t>MP-78918</t>
  </si>
  <si>
    <t>BP-51678</t>
  </si>
  <si>
    <t>SP-86425</t>
  </si>
  <si>
    <t>SP-45896</t>
  </si>
  <si>
    <t>MP-48875</t>
  </si>
  <si>
    <t>MP-48976</t>
  </si>
  <si>
    <t>MP-45687</t>
  </si>
  <si>
    <t>SP-79856</t>
  </si>
  <si>
    <t>SP-78956</t>
  </si>
  <si>
    <t>HDE8334DS765DF324</t>
  </si>
  <si>
    <t>JDU39FJSD8CJFL325</t>
  </si>
  <si>
    <t>SD3F55TG9SJE23D11</t>
  </si>
  <si>
    <t>KDMRI9827SHETNC22</t>
  </si>
  <si>
    <t>12KID84FNAUT35936</t>
  </si>
  <si>
    <t>DKJDD0976DJ38FJ67</t>
  </si>
  <si>
    <t>KD9UY76GET3567878</t>
  </si>
  <si>
    <t>JD84YFG723JD09K25</t>
  </si>
  <si>
    <t>23KSMPR03JDO2JS26</t>
  </si>
  <si>
    <t>DKS93764FT56JU257</t>
  </si>
  <si>
    <t>SH3850FK2MSJE4N44</t>
  </si>
  <si>
    <t>34FIGJSUENCIT9337</t>
  </si>
  <si>
    <t>KDMEOR039FJANSJ98</t>
  </si>
  <si>
    <t>235J98SIE94JFNT76</t>
  </si>
  <si>
    <t>MP-797818</t>
  </si>
  <si>
    <t>BP-108888</t>
  </si>
  <si>
    <t>BP-104444</t>
  </si>
  <si>
    <t>SP-331911</t>
  </si>
  <si>
    <t>MP-222192</t>
  </si>
  <si>
    <t>MP-916760</t>
  </si>
  <si>
    <t>MP-590170</t>
  </si>
  <si>
    <t>MP-666196</t>
  </si>
  <si>
    <t>SP-150059</t>
  </si>
  <si>
    <t>SP-120029</t>
  </si>
  <si>
    <t>MP-777331</t>
  </si>
  <si>
    <t>MP-777661</t>
  </si>
  <si>
    <t>SP-764706</t>
  </si>
  <si>
    <t>SP-768709</t>
  </si>
  <si>
    <t>MP-390170</t>
  </si>
  <si>
    <t>MP-944777</t>
  </si>
  <si>
    <t>MP-988777</t>
  </si>
  <si>
    <t>BP-700557</t>
  </si>
  <si>
    <t>1XXGI9A76DG099967</t>
  </si>
  <si>
    <t>6G8FK66C0DF692348</t>
  </si>
  <si>
    <t>6G8FK66C0DF699168</t>
  </si>
  <si>
    <t>6GBT7H9J1WJ671987</t>
  </si>
  <si>
    <t>6GCBS69R6K7779916</t>
  </si>
  <si>
    <t>6GNEC66R7XJ854866</t>
  </si>
  <si>
    <t>6HGES61281H674187</t>
  </si>
  <si>
    <t>6KCBS69R6K0979916</t>
  </si>
  <si>
    <t>6LORLB9X0RS661161</t>
  </si>
  <si>
    <t>6NKDLB9X0RS661161</t>
  </si>
  <si>
    <t>7FNDA16U6IBA86878</t>
  </si>
  <si>
    <t>7FNDA23U6IBA86879</t>
  </si>
  <si>
    <t>7GTDC69H8F6180801</t>
  </si>
  <si>
    <t>7GTDC69H8F6980801</t>
  </si>
  <si>
    <t>7HGES61181H679187</t>
  </si>
  <si>
    <t>8FRXF7FE9BV970799</t>
  </si>
  <si>
    <t>8FRXF7FE9BX970799</t>
  </si>
  <si>
    <t>LM9AC668916676766</t>
  </si>
  <si>
    <t>MP: Multi Policy
SP: Single Policy
BP: Business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</si>
</sst>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charset val="163"/>
      <scheme val="minor"/>
    </font>
    <font>
      <b/>
      <sz val="11"/>
      <color theme="8" tint="-0.499984740745262"/>
      <name val="Calibri"/>
      <family val="2"/>
      <charset val="163"/>
      <scheme val="minor"/>
    </font>
    <font>
      <b/>
      <sz val="11"/>
      <color theme="5" tint="-0.249977111117893"/>
      <name val="Calibri"/>
      <family val="2"/>
      <charset val="163"/>
      <scheme val="minor"/>
    </font>
    <font>
      <b/>
      <sz val="16"/>
      <color theme="8" tint="-0.499984740745262"/>
      <name val="Calibri"/>
      <family val="2"/>
      <charset val="163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3" fillId="0" borderId="0" xfId="0" applyFont="1"/>
    <xf numFmtId="0" fontId="4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2" xfId="0" applyFont="1" applyFill="1" applyBorder="1"/>
    <xf numFmtId="0" fontId="0" fillId="0" borderId="3" xfId="0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6" fontId="0" fillId="3" borderId="1" xfId="0" applyNumberFormat="1" applyFill="1" applyBorder="1"/>
    <xf numFmtId="16" fontId="0" fillId="0" borderId="1" xfId="0" applyNumberFormat="1" applyBorder="1"/>
    <xf numFmtId="16" fontId="0" fillId="0" borderId="3" xfId="0" applyNumberFormat="1" applyBorder="1"/>
    <xf numFmtId="0" fontId="0" fillId="0" borderId="3" xfId="0" applyBorder="1" applyAlignment="1">
      <alignment horizontal="left"/>
    </xf>
    <xf numFmtId="16" fontId="0" fillId="3" borderId="1" xfId="0" applyNumberFormat="1" applyFill="1" applyBorder="1" applyAlignment="1">
      <alignment horizontal="left"/>
    </xf>
    <xf numFmtId="16" fontId="0" fillId="0" borderId="1" xfId="0" applyNumberFormat="1" applyBorder="1" applyAlignment="1">
      <alignment horizontal="left"/>
    </xf>
    <xf numFmtId="16" fontId="0" fillId="0" borderId="3" xfId="0" applyNumberForma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3" fillId="0" borderId="0" xfId="0" applyFont="1"/>
    <xf numFmtId="0" fontId="2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6"/>
          <bgColor theme="6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\-mmm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Policies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Summary!$A$4:$A$6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16</c:v>
                </c:pt>
                <c:pt idx="1">
                  <c:v>14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9-4186-BF20-2B30253D03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819256"/>
        <c:axId val="205819640"/>
      </c:barChart>
      <c:catAx>
        <c:axId val="20581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19640"/>
        <c:crosses val="autoZero"/>
        <c:auto val="1"/>
        <c:lblAlgn val="ctr"/>
        <c:lblOffset val="100"/>
        <c:noMultiLvlLbl val="0"/>
      </c:catAx>
      <c:valAx>
        <c:axId val="2058196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5819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140970</xdr:colOff>
      <xdr:row>7</xdr:row>
      <xdr:rowOff>76200</xdr:rowOff>
    </xdr:from>
    <xdr:to>
      <xdr:col>6</xdr:col>
      <xdr:colOff>636270</xdr:colOff>
      <xdr:row>23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E1D34E-33BE-4A33-87D6-FD7052868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G20" totalsRowShown="0">
  <autoFilter ref="A4:G20" xr:uid="{00000000-0009-0000-0100-000001000000}"/>
  <tableColumns count="7">
    <tableColumn id="1" xr3:uid="{00000000-0010-0000-0000-000001000000}" name="Client ID" dataDxfId="28"/>
    <tableColumn id="2" xr3:uid="{00000000-0010-0000-0000-000002000000}" name="Policy Number "/>
    <tableColumn id="3" xr3:uid="{00000000-0010-0000-0000-000003000000}" name="VIN Number"/>
    <tableColumn id="4" xr3:uid="{00000000-0010-0000-0000-000004000000}" name="Renewal Date" dataDxfId="27"/>
    <tableColumn id="5" xr3:uid="{00000000-0010-0000-0000-000005000000}" name="Years as Member" dataDxfId="26"/>
    <tableColumn id="6" xr3:uid="{00000000-0010-0000-0000-000006000000}" name="Policy Type " dataDxfId="25">
      <calculatedColumnFormula>LEFT(Table1[[#This Row],[Policy Number ]],2)</calculatedColumnFormula>
    </tableColumn>
    <tableColumn id="7" xr3:uid="{00000000-0010-0000-0000-000007000000}" name="Discount" dataDxfId="24">
      <calculatedColumnFormula>IF(Table1[[#This Row],[Years as Member]]&gt;3,"Yes","No")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4:G18" totalsRowShown="0" headerRowDxfId="23" dataDxfId="21" headerRowBorderDxfId="22" tableBorderDxfId="20" totalsRowBorderDxfId="19">
  <autoFilter ref="A4:G18" xr:uid="{00000000-0009-0000-0100-000003000000}"/>
  <tableColumns count="7">
    <tableColumn id="1" xr3:uid="{00000000-0010-0000-0100-000001000000}" name="Client ID" dataDxfId="18"/>
    <tableColumn id="2" xr3:uid="{00000000-0010-0000-0100-000002000000}" name="Policy Number " dataDxfId="17"/>
    <tableColumn id="3" xr3:uid="{00000000-0010-0000-0100-000003000000}" name="VIN Number" dataDxfId="16"/>
    <tableColumn id="4" xr3:uid="{00000000-0010-0000-0100-000004000000}" name="Renewal Date" dataDxfId="15"/>
    <tableColumn id="5" xr3:uid="{00000000-0010-0000-0100-000005000000}" name="Years as Member" dataDxfId="14"/>
    <tableColumn id="6" xr3:uid="{00000000-0010-0000-0100-000006000000}" name="Policy Type " dataDxfId="13"/>
    <tableColumn id="7" xr3:uid="{00000000-0010-0000-0100-000007000000}" name="Discount" dataDxfId="12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35" displayName="Table35" ref="A4:G24" totalsRowShown="0" headerRowDxfId="11" dataDxfId="9" headerRowBorderDxfId="10" tableBorderDxfId="8" totalsRowBorderDxfId="7">
  <autoFilter ref="A4:G24" xr:uid="{00000000-0009-0000-0100-000004000000}"/>
  <tableColumns count="7">
    <tableColumn id="1" xr3:uid="{00000000-0010-0000-0200-000001000000}" name="Client ID" dataDxfId="6"/>
    <tableColumn id="2" xr3:uid="{00000000-0010-0000-0200-000002000000}" name="Policy Number " dataDxfId="5"/>
    <tableColumn id="3" xr3:uid="{00000000-0010-0000-0200-000003000000}" name="VIN Number" dataDxfId="4"/>
    <tableColumn id="4" xr3:uid="{00000000-0010-0000-0200-000004000000}" name="Renewal Date" dataDxfId="3"/>
    <tableColumn id="5" xr3:uid="{00000000-0010-0000-0200-000005000000}" name="Years as Member" dataDxfId="2"/>
    <tableColumn id="6" xr3:uid="{00000000-0010-0000-0200-000006000000}" name="Policy Type " dataDxfId="1">
      <calculatedColumnFormula>LEFT(Table35[[#This Row],[Policy Number ]],2)</calculatedColumnFormula>
    </tableColumn>
    <tableColumn id="7" xr3:uid="{00000000-0010-0000-0200-000007000000}" name="Discount" dataDxfId="0">
      <calculatedColumnFormula>IF(Table35[[#This Row],[Years as Member]]&gt;3,"Yes","No")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3:B6" totalsRowShown="0">
  <autoFilter ref="A3:B6" xr:uid="{00000000-0009-0000-0100-000002000000}"/>
  <tableColumns count="2">
    <tableColumn id="1" xr3:uid="{00000000-0010-0000-0300-000001000000}" name="Month "/>
    <tableColumn id="2" xr3:uid="{00000000-0010-0000-0300-000002000000}" name="Polici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workbookViewId="0">
      <selection activeCell="C58" sqref="C58"/>
    </sheetView>
  </sheetViews>
  <sheetFormatPr defaultRowHeight="14.4" x14ac:dyDescent="0.3"/>
  <cols>
    <col min="1" max="1" width="11.21875" bestFit="1" customWidth="1"/>
    <col min="2" max="2" width="10.6640625" customWidth="1"/>
    <col min="3" max="3" width="20.109375" bestFit="1" customWidth="1"/>
    <col min="4" max="4" width="14.77734375" customWidth="1"/>
    <col min="5" max="5" width="17.88671875" customWidth="1"/>
    <col min="6" max="6" width="13.33203125" customWidth="1"/>
    <col min="7" max="7" width="10.21875" customWidth="1"/>
  </cols>
  <sheetData>
    <row r="1" spans="1:7" s="24" customFormat="1" ht="31.95" customHeight="1" x14ac:dyDescent="0.3">
      <c r="A1" s="24" t="s">
        <v>0</v>
      </c>
    </row>
    <row r="2" spans="1:7" x14ac:dyDescent="0.3">
      <c r="A2" s="25" t="s">
        <v>1</v>
      </c>
      <c r="B2" s="25"/>
      <c r="C2" s="25"/>
    </row>
    <row r="3" spans="1:7" x14ac:dyDescent="0.3">
      <c r="A3" s="6" t="s">
        <v>30</v>
      </c>
      <c r="B3" s="7">
        <v>16</v>
      </c>
    </row>
    <row r="4" spans="1:7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3">
      <c r="A5" s="12">
        <v>53303</v>
      </c>
      <c r="B5" t="s">
        <v>27</v>
      </c>
      <c r="C5" t="s">
        <v>11</v>
      </c>
      <c r="D5" s="13">
        <v>44576</v>
      </c>
      <c r="E5" s="12">
        <v>6</v>
      </c>
      <c r="F5" s="12" t="str">
        <f>LEFT(Table1[[#This Row],[Policy Number ]],2)</f>
        <v>BP</v>
      </c>
      <c r="G5" s="12" t="str">
        <f>IF(Table1[[#This Row],[Years as Member]]&gt;3,"Yes","No")</f>
        <v>Yes</v>
      </c>
    </row>
    <row r="6" spans="1:7" x14ac:dyDescent="0.3">
      <c r="A6" s="12">
        <v>23552</v>
      </c>
      <c r="B6" t="s">
        <v>28</v>
      </c>
      <c r="C6" t="s">
        <v>12</v>
      </c>
      <c r="D6" s="13">
        <v>44585</v>
      </c>
      <c r="E6" s="12">
        <v>3</v>
      </c>
      <c r="F6" s="12" t="str">
        <f>LEFT(Table1[[#This Row],[Policy Number ]],2)</f>
        <v>SP</v>
      </c>
      <c r="G6" s="12" t="str">
        <f>IF(Table1[[#This Row],[Years as Member]]&gt;3,"Yes","No")</f>
        <v>No</v>
      </c>
    </row>
    <row r="7" spans="1:7" x14ac:dyDescent="0.3">
      <c r="A7" s="12">
        <v>55223</v>
      </c>
      <c r="B7" t="s">
        <v>29</v>
      </c>
      <c r="C7" s="2" t="s">
        <v>13</v>
      </c>
      <c r="D7" s="13">
        <v>44585</v>
      </c>
      <c r="E7" s="12">
        <v>1</v>
      </c>
      <c r="F7" s="12" t="str">
        <f>LEFT(Table1[[#This Row],[Policy Number ]],2)</f>
        <v>SP</v>
      </c>
      <c r="G7" s="12" t="str">
        <f>IF(Table1[[#This Row],[Years as Member]]&gt;3,"Yes","No")</f>
        <v>No</v>
      </c>
    </row>
    <row r="8" spans="1:7" x14ac:dyDescent="0.3">
      <c r="A8" s="12">
        <v>35220</v>
      </c>
      <c r="B8" t="s">
        <v>40</v>
      </c>
      <c r="C8" t="s">
        <v>14</v>
      </c>
      <c r="D8" s="13">
        <v>44586</v>
      </c>
      <c r="E8" s="12">
        <v>2</v>
      </c>
      <c r="F8" s="12" t="str">
        <f>LEFT(Table1[[#This Row],[Policy Number ]],2)</f>
        <v>BP</v>
      </c>
      <c r="G8" s="12" t="str">
        <f>IF(Table1[[#This Row],[Years as Member]]&gt;3,"Yes","No")</f>
        <v>No</v>
      </c>
    </row>
    <row r="9" spans="1:7" x14ac:dyDescent="0.3">
      <c r="A9" s="12">
        <v>92527</v>
      </c>
      <c r="B9" t="s">
        <v>41</v>
      </c>
      <c r="C9" t="s">
        <v>15</v>
      </c>
      <c r="D9" s="13">
        <v>44565</v>
      </c>
      <c r="E9" s="12">
        <v>5</v>
      </c>
      <c r="F9" s="12" t="str">
        <f>LEFT(Table1[[#This Row],[Policy Number ]],2)</f>
        <v>MP</v>
      </c>
      <c r="G9" s="12" t="str">
        <f>IF(Table1[[#This Row],[Years as Member]]&gt;3,"Yes","No")</f>
        <v>Yes</v>
      </c>
    </row>
    <row r="10" spans="1:7" x14ac:dyDescent="0.3">
      <c r="A10" s="12">
        <v>23253</v>
      </c>
      <c r="B10" t="s">
        <v>42</v>
      </c>
      <c r="C10" t="s">
        <v>16</v>
      </c>
      <c r="D10" s="13">
        <v>44569</v>
      </c>
      <c r="E10" s="12">
        <v>2</v>
      </c>
      <c r="F10" s="12" t="str">
        <f>LEFT(Table1[[#This Row],[Policy Number ]],2)</f>
        <v>SP</v>
      </c>
      <c r="G10" s="12" t="str">
        <f>IF(Table1[[#This Row],[Years as Member]]&gt;3,"Yes","No")</f>
        <v>No</v>
      </c>
    </row>
    <row r="11" spans="1:7" x14ac:dyDescent="0.3">
      <c r="A11" s="12">
        <v>35225</v>
      </c>
      <c r="B11" t="s">
        <v>43</v>
      </c>
      <c r="C11" t="s">
        <v>17</v>
      </c>
      <c r="D11" s="13">
        <v>44566</v>
      </c>
      <c r="E11" s="12">
        <v>12</v>
      </c>
      <c r="F11" s="12" t="str">
        <f>LEFT(Table1[[#This Row],[Policy Number ]],2)</f>
        <v>BP</v>
      </c>
      <c r="G11" s="12" t="str">
        <f>IF(Table1[[#This Row],[Years as Member]]&gt;3,"Yes","No")</f>
        <v>Yes</v>
      </c>
    </row>
    <row r="12" spans="1:7" x14ac:dyDescent="0.3">
      <c r="A12" s="12">
        <v>55253</v>
      </c>
      <c r="B12" t="s">
        <v>44</v>
      </c>
      <c r="C12" t="s">
        <v>18</v>
      </c>
      <c r="D12" s="13">
        <v>44570</v>
      </c>
      <c r="E12" s="12">
        <v>1</v>
      </c>
      <c r="F12" s="12" t="str">
        <f>LEFT(Table1[[#This Row],[Policy Number ]],2)</f>
        <v>SP</v>
      </c>
      <c r="G12" s="12" t="str">
        <f>IF(Table1[[#This Row],[Years as Member]]&gt;3,"Yes","No")</f>
        <v>No</v>
      </c>
    </row>
    <row r="13" spans="1:7" x14ac:dyDescent="0.3">
      <c r="A13" s="12">
        <v>41412</v>
      </c>
      <c r="B13" t="s">
        <v>45</v>
      </c>
      <c r="C13" t="s">
        <v>19</v>
      </c>
      <c r="D13" s="13">
        <v>44573</v>
      </c>
      <c r="E13" s="12">
        <v>3</v>
      </c>
      <c r="F13" s="12" t="str">
        <f>LEFT(Table1[[#This Row],[Policy Number ]],2)</f>
        <v>MP</v>
      </c>
      <c r="G13" s="12" t="str">
        <f>IF(Table1[[#This Row],[Years as Member]]&gt;3,"Yes","No")</f>
        <v>No</v>
      </c>
    </row>
    <row r="14" spans="1:7" x14ac:dyDescent="0.3">
      <c r="A14" s="12">
        <v>45896</v>
      </c>
      <c r="B14" t="s">
        <v>46</v>
      </c>
      <c r="C14" t="s">
        <v>20</v>
      </c>
      <c r="D14" s="13">
        <v>44575</v>
      </c>
      <c r="E14" s="12">
        <v>11</v>
      </c>
      <c r="F14" s="12" t="str">
        <f>LEFT(Table1[[#This Row],[Policy Number ]],2)</f>
        <v>SP</v>
      </c>
      <c r="G14" s="12" t="str">
        <f>IF(Table1[[#This Row],[Years as Member]]&gt;3,"Yes","No")</f>
        <v>Yes</v>
      </c>
    </row>
    <row r="15" spans="1:7" x14ac:dyDescent="0.3">
      <c r="A15" s="12">
        <v>14422</v>
      </c>
      <c r="B15" t="s">
        <v>47</v>
      </c>
      <c r="C15" t="s">
        <v>21</v>
      </c>
      <c r="D15" s="13">
        <v>44565</v>
      </c>
      <c r="E15" s="12">
        <v>3</v>
      </c>
      <c r="F15" s="12" t="str">
        <f>LEFT(Table1[[#This Row],[Policy Number ]],2)</f>
        <v>MP</v>
      </c>
      <c r="G15" s="12" t="str">
        <f>IF(Table1[[#This Row],[Years as Member]]&gt;3,"Yes","No")</f>
        <v>No</v>
      </c>
    </row>
    <row r="16" spans="1:7" x14ac:dyDescent="0.3">
      <c r="A16" s="12">
        <v>41221</v>
      </c>
      <c r="B16" t="s">
        <v>48</v>
      </c>
      <c r="C16" t="s">
        <v>22</v>
      </c>
      <c r="D16" s="13">
        <v>44566</v>
      </c>
      <c r="E16" s="12">
        <v>1</v>
      </c>
      <c r="F16" s="12" t="str">
        <f>LEFT(Table1[[#This Row],[Policy Number ]],2)</f>
        <v>BP</v>
      </c>
      <c r="G16" s="12" t="str">
        <f>IF(Table1[[#This Row],[Years as Member]]&gt;3,"Yes","No")</f>
        <v>No</v>
      </c>
    </row>
    <row r="17" spans="1:7" x14ac:dyDescent="0.3">
      <c r="A17" s="12">
        <v>66262</v>
      </c>
      <c r="B17" t="s">
        <v>49</v>
      </c>
      <c r="C17" t="s">
        <v>23</v>
      </c>
      <c r="D17" s="13">
        <v>44577</v>
      </c>
      <c r="E17" s="12">
        <v>4</v>
      </c>
      <c r="F17" s="12" t="str">
        <f>LEFT(Table1[[#This Row],[Policy Number ]],2)</f>
        <v>SP</v>
      </c>
      <c r="G17" s="12" t="str">
        <f>IF(Table1[[#This Row],[Years as Member]]&gt;3,"Yes","No")</f>
        <v>Yes</v>
      </c>
    </row>
    <row r="18" spans="1:7" x14ac:dyDescent="0.3">
      <c r="A18" s="12">
        <v>36362</v>
      </c>
      <c r="B18" t="s">
        <v>50</v>
      </c>
      <c r="C18" t="s">
        <v>24</v>
      </c>
      <c r="D18" s="13">
        <v>44585</v>
      </c>
      <c r="E18" s="12">
        <v>3</v>
      </c>
      <c r="F18" s="12" t="str">
        <f>LEFT(Table1[[#This Row],[Policy Number ]],2)</f>
        <v>MP</v>
      </c>
      <c r="G18" s="12" t="str">
        <f>IF(Table1[[#This Row],[Years as Member]]&gt;3,"Yes","No")</f>
        <v>No</v>
      </c>
    </row>
    <row r="19" spans="1:7" x14ac:dyDescent="0.3">
      <c r="A19" s="12">
        <v>63302</v>
      </c>
      <c r="B19" t="s">
        <v>51</v>
      </c>
      <c r="C19" t="s">
        <v>25</v>
      </c>
      <c r="D19" s="13">
        <v>44592</v>
      </c>
      <c r="E19" s="12">
        <v>12</v>
      </c>
      <c r="F19" s="12" t="str">
        <f>LEFT(Table1[[#This Row],[Policy Number ]],2)</f>
        <v>SP</v>
      </c>
      <c r="G19" s="12" t="str">
        <f>IF(Table1[[#This Row],[Years as Member]]&gt;3,"Yes","No")</f>
        <v>Yes</v>
      </c>
    </row>
    <row r="20" spans="1:7" x14ac:dyDescent="0.3">
      <c r="A20" s="12">
        <v>93322</v>
      </c>
      <c r="B20" t="s">
        <v>52</v>
      </c>
      <c r="C20" t="s">
        <v>26</v>
      </c>
      <c r="D20" s="13">
        <v>44584</v>
      </c>
      <c r="E20" s="12">
        <v>3</v>
      </c>
      <c r="F20" s="12" t="str">
        <f>LEFT(Table1[[#This Row],[Policy Number ]],2)</f>
        <v>MP</v>
      </c>
      <c r="G20" s="12" t="str">
        <f>IF(Table1[[#This Row],[Years as Member]]&gt;3,"Yes","No")</f>
        <v>No</v>
      </c>
    </row>
    <row r="23" spans="1:7" ht="86.4" x14ac:dyDescent="0.3">
      <c r="A23" s="3" t="s">
        <v>9</v>
      </c>
      <c r="B23" s="1" t="s">
        <v>10</v>
      </c>
    </row>
  </sheetData>
  <mergeCells count="2">
    <mergeCell ref="A1:XFD1"/>
    <mergeCell ref="A2:C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D21" sqref="D21"/>
    </sheetView>
  </sheetViews>
  <sheetFormatPr defaultRowHeight="14.4" x14ac:dyDescent="0.3"/>
  <cols>
    <col min="1" max="1" width="11.6640625" customWidth="1"/>
    <col min="2" max="2" width="16" customWidth="1"/>
    <col min="3" max="3" width="20" customWidth="1"/>
    <col min="4" max="4" width="14.77734375" customWidth="1"/>
    <col min="5" max="5" width="17.88671875" customWidth="1"/>
    <col min="6" max="6" width="13.33203125" customWidth="1"/>
    <col min="7" max="7" width="10.21875" customWidth="1"/>
  </cols>
  <sheetData>
    <row r="1" spans="1:7" s="24" customFormat="1" ht="31.95" customHeight="1" x14ac:dyDescent="0.3">
      <c r="A1" s="24" t="s">
        <v>0</v>
      </c>
    </row>
    <row r="2" spans="1:7" x14ac:dyDescent="0.3">
      <c r="A2" s="25" t="s">
        <v>1</v>
      </c>
      <c r="B2" s="25"/>
      <c r="C2" s="25"/>
    </row>
    <row r="3" spans="1:7" x14ac:dyDescent="0.3">
      <c r="A3" s="6" t="s">
        <v>39</v>
      </c>
      <c r="B3" s="7">
        <v>14</v>
      </c>
    </row>
    <row r="4" spans="1:7" x14ac:dyDescent="0.3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</row>
    <row r="5" spans="1:7" x14ac:dyDescent="0.3">
      <c r="A5" s="4">
        <v>13622</v>
      </c>
      <c r="B5" t="s">
        <v>56</v>
      </c>
      <c r="C5" s="4" t="s">
        <v>67</v>
      </c>
      <c r="D5" s="16">
        <v>44614</v>
      </c>
      <c r="E5">
        <v>8</v>
      </c>
      <c r="F5" s="4"/>
      <c r="G5" s="4"/>
    </row>
    <row r="6" spans="1:7" x14ac:dyDescent="0.3">
      <c r="A6" s="5">
        <v>15822</v>
      </c>
      <c r="B6" t="s">
        <v>53</v>
      </c>
      <c r="C6" s="5" t="s">
        <v>68</v>
      </c>
      <c r="D6" s="17">
        <v>44595</v>
      </c>
      <c r="E6">
        <v>2</v>
      </c>
      <c r="F6" s="5"/>
      <c r="G6" s="5"/>
    </row>
    <row r="7" spans="1:7" x14ac:dyDescent="0.3">
      <c r="A7" s="4">
        <v>16308</v>
      </c>
      <c r="B7" t="s">
        <v>54</v>
      </c>
      <c r="C7" s="14" t="s">
        <v>69</v>
      </c>
      <c r="D7" s="16">
        <v>44601</v>
      </c>
      <c r="E7">
        <v>12</v>
      </c>
      <c r="F7" s="4"/>
      <c r="G7" s="4"/>
    </row>
    <row r="8" spans="1:7" x14ac:dyDescent="0.3">
      <c r="A8" s="5">
        <v>19272</v>
      </c>
      <c r="B8" t="s">
        <v>55</v>
      </c>
      <c r="C8" s="15" t="s">
        <v>70</v>
      </c>
      <c r="D8" s="17">
        <v>44601</v>
      </c>
      <c r="E8">
        <v>6</v>
      </c>
      <c r="F8" s="5"/>
      <c r="G8" s="5"/>
    </row>
    <row r="9" spans="1:7" x14ac:dyDescent="0.3">
      <c r="A9" s="4">
        <v>34521</v>
      </c>
      <c r="B9" t="s">
        <v>57</v>
      </c>
      <c r="C9" s="4" t="s">
        <v>71</v>
      </c>
      <c r="D9" s="16">
        <v>44607</v>
      </c>
      <c r="E9">
        <v>2</v>
      </c>
      <c r="F9" s="4"/>
      <c r="G9" s="4"/>
    </row>
    <row r="10" spans="1:7" x14ac:dyDescent="0.3">
      <c r="A10" s="5">
        <v>43909</v>
      </c>
      <c r="B10" t="s">
        <v>58</v>
      </c>
      <c r="C10" s="5" t="s">
        <v>72</v>
      </c>
      <c r="D10" s="17">
        <v>44612</v>
      </c>
      <c r="E10">
        <v>9</v>
      </c>
      <c r="F10" s="5"/>
      <c r="G10" s="5"/>
    </row>
    <row r="11" spans="1:7" x14ac:dyDescent="0.3">
      <c r="A11" s="4">
        <v>61220</v>
      </c>
      <c r="B11" t="s">
        <v>59</v>
      </c>
      <c r="C11" s="4" t="s">
        <v>73</v>
      </c>
      <c r="D11" s="16">
        <v>44606</v>
      </c>
      <c r="E11">
        <v>5</v>
      </c>
      <c r="F11" s="4"/>
      <c r="G11" s="4"/>
    </row>
    <row r="12" spans="1:7" x14ac:dyDescent="0.3">
      <c r="A12" s="5">
        <v>61789</v>
      </c>
      <c r="B12" t="s">
        <v>60</v>
      </c>
      <c r="C12" s="5" t="s">
        <v>74</v>
      </c>
      <c r="D12" s="17">
        <v>44606</v>
      </c>
      <c r="E12">
        <v>3</v>
      </c>
      <c r="F12" s="5"/>
      <c r="G12" s="5"/>
    </row>
    <row r="13" spans="1:7" x14ac:dyDescent="0.3">
      <c r="A13" s="4">
        <v>77272</v>
      </c>
      <c r="B13" t="s">
        <v>61</v>
      </c>
      <c r="C13" s="4" t="s">
        <v>75</v>
      </c>
      <c r="D13" s="16">
        <v>44612</v>
      </c>
      <c r="E13">
        <v>10</v>
      </c>
      <c r="F13" s="4"/>
      <c r="G13" s="4"/>
    </row>
    <row r="14" spans="1:7" x14ac:dyDescent="0.3">
      <c r="A14" s="5">
        <v>86448</v>
      </c>
      <c r="B14" t="s">
        <v>62</v>
      </c>
      <c r="C14" s="5" t="s">
        <v>76</v>
      </c>
      <c r="D14" s="17">
        <v>44596</v>
      </c>
      <c r="E14">
        <v>2</v>
      </c>
      <c r="F14" s="5"/>
      <c r="G14" s="5"/>
    </row>
    <row r="15" spans="1:7" x14ac:dyDescent="0.3">
      <c r="A15" s="4">
        <v>89216</v>
      </c>
      <c r="B15" t="s">
        <v>63</v>
      </c>
      <c r="C15" s="4" t="s">
        <v>77</v>
      </c>
      <c r="D15" s="16">
        <v>44620</v>
      </c>
      <c r="E15">
        <v>2</v>
      </c>
      <c r="F15" s="4"/>
      <c r="G15" s="4"/>
    </row>
    <row r="16" spans="1:7" x14ac:dyDescent="0.3">
      <c r="A16" s="5">
        <v>90918</v>
      </c>
      <c r="B16" t="s">
        <v>64</v>
      </c>
      <c r="C16" s="5" t="s">
        <v>78</v>
      </c>
      <c r="D16" s="17">
        <v>44601</v>
      </c>
      <c r="E16">
        <v>10</v>
      </c>
      <c r="F16" s="5"/>
      <c r="G16" s="5"/>
    </row>
    <row r="17" spans="1:7" x14ac:dyDescent="0.3">
      <c r="A17" s="4">
        <v>91319</v>
      </c>
      <c r="B17" t="s">
        <v>65</v>
      </c>
      <c r="C17" s="4" t="s">
        <v>79</v>
      </c>
      <c r="D17" s="16">
        <v>44612</v>
      </c>
      <c r="E17">
        <v>3</v>
      </c>
      <c r="F17" s="4"/>
      <c r="G17" s="4"/>
    </row>
    <row r="18" spans="1:7" x14ac:dyDescent="0.3">
      <c r="A18" s="10">
        <v>98308</v>
      </c>
      <c r="B18" t="s">
        <v>66</v>
      </c>
      <c r="C18" s="10" t="s">
        <v>80</v>
      </c>
      <c r="D18" s="18">
        <v>44617</v>
      </c>
      <c r="E18">
        <v>5</v>
      </c>
      <c r="F18" s="10"/>
      <c r="G18" s="10"/>
    </row>
    <row r="21" spans="1:7" ht="28.8" x14ac:dyDescent="0.3">
      <c r="A21" s="3" t="s">
        <v>9</v>
      </c>
      <c r="B21" s="1" t="s">
        <v>37</v>
      </c>
    </row>
  </sheetData>
  <mergeCells count="2">
    <mergeCell ref="A1:XFD1"/>
    <mergeCell ref="A2:C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topLeftCell="A31" workbookViewId="0">
      <selection activeCell="F26" sqref="F26"/>
    </sheetView>
  </sheetViews>
  <sheetFormatPr defaultRowHeight="14.4" x14ac:dyDescent="0.3"/>
  <cols>
    <col min="1" max="1" width="12.109375" bestFit="1" customWidth="1"/>
    <col min="2" max="2" width="16.33203125" bestFit="1" customWidth="1"/>
    <col min="3" max="3" width="19.77734375" bestFit="1" customWidth="1"/>
    <col min="4" max="4" width="15.109375" bestFit="1" customWidth="1"/>
    <col min="5" max="5" width="18.21875" bestFit="1" customWidth="1"/>
    <col min="6" max="6" width="13.77734375" bestFit="1" customWidth="1"/>
    <col min="7" max="7" width="10.6640625" bestFit="1" customWidth="1"/>
  </cols>
  <sheetData>
    <row r="1" spans="1:7" s="26" customFormat="1" ht="31.95" customHeight="1" x14ac:dyDescent="0.3">
      <c r="A1" s="26" t="s">
        <v>0</v>
      </c>
    </row>
    <row r="2" spans="1:7" s="12" customFormat="1" x14ac:dyDescent="0.3">
      <c r="A2" s="27" t="s">
        <v>1</v>
      </c>
      <c r="B2" s="27"/>
      <c r="C2" s="27"/>
    </row>
    <row r="3" spans="1:7" s="12" customFormat="1" x14ac:dyDescent="0.3">
      <c r="A3" s="11" t="s">
        <v>38</v>
      </c>
      <c r="B3" s="7">
        <v>20</v>
      </c>
    </row>
    <row r="4" spans="1:7" x14ac:dyDescent="0.3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</row>
    <row r="5" spans="1:7" x14ac:dyDescent="0.3">
      <c r="A5" s="4">
        <v>98909</v>
      </c>
      <c r="B5" s="4" t="s">
        <v>81</v>
      </c>
      <c r="C5" s="4" t="s">
        <v>99</v>
      </c>
      <c r="D5" s="20">
        <v>44621</v>
      </c>
      <c r="E5" s="14">
        <v>4</v>
      </c>
      <c r="F5" s="4" t="str">
        <f>LEFT(Table35[[#This Row],[Policy Number ]],2)</f>
        <v>MP</v>
      </c>
      <c r="G5" s="4" t="str">
        <f>IF(Table35[[#This Row],[Years as Member]]&gt;3,"Yes","No")</f>
        <v>Yes</v>
      </c>
    </row>
    <row r="6" spans="1:7" x14ac:dyDescent="0.3">
      <c r="A6" s="5">
        <v>66770</v>
      </c>
      <c r="B6" s="5" t="s">
        <v>82</v>
      </c>
      <c r="C6" s="5" t="s">
        <v>100</v>
      </c>
      <c r="D6" s="21">
        <v>44640</v>
      </c>
      <c r="E6" s="15">
        <v>5</v>
      </c>
      <c r="F6" s="5" t="str">
        <f>LEFT(Table35[[#This Row],[Policy Number ]],2)</f>
        <v>BP</v>
      </c>
      <c r="G6" s="5" t="str">
        <f>IF(Table35[[#This Row],[Years as Member]]&gt;3,"Yes","No")</f>
        <v>Yes</v>
      </c>
    </row>
    <row r="7" spans="1:7" x14ac:dyDescent="0.3">
      <c r="A7" s="4">
        <v>66220</v>
      </c>
      <c r="B7" s="4" t="s">
        <v>83</v>
      </c>
      <c r="C7" s="8" t="s">
        <v>101</v>
      </c>
      <c r="D7" s="20">
        <v>44645</v>
      </c>
      <c r="E7" s="14">
        <v>5</v>
      </c>
      <c r="F7" s="4" t="str">
        <f>LEFT(Table35[[#This Row],[Policy Number ]],2)</f>
        <v>BP</v>
      </c>
      <c r="G7" s="4" t="str">
        <f>IF(Table35[[#This Row],[Years as Member]]&gt;3,"Yes","No")</f>
        <v>Yes</v>
      </c>
    </row>
    <row r="8" spans="1:7" x14ac:dyDescent="0.3">
      <c r="A8" s="5">
        <v>96565</v>
      </c>
      <c r="B8" s="5" t="s">
        <v>84</v>
      </c>
      <c r="C8" s="5" t="s">
        <v>102</v>
      </c>
      <c r="D8" s="21">
        <v>44635</v>
      </c>
      <c r="E8" s="15">
        <v>2</v>
      </c>
      <c r="F8" s="5" t="str">
        <f>LEFT(Table35[[#This Row],[Policy Number ]],2)</f>
        <v>SP</v>
      </c>
      <c r="G8" s="5" t="str">
        <f>IF(Table35[[#This Row],[Years as Member]]&gt;3,"Yes","No")</f>
        <v>No</v>
      </c>
    </row>
    <row r="9" spans="1:7" x14ac:dyDescent="0.3">
      <c r="A9" s="4">
        <v>68679</v>
      </c>
      <c r="B9" s="4" t="s">
        <v>85</v>
      </c>
      <c r="C9" s="4" t="s">
        <v>103</v>
      </c>
      <c r="D9" s="20">
        <v>44650</v>
      </c>
      <c r="E9" s="14">
        <v>8</v>
      </c>
      <c r="F9" s="4" t="str">
        <f>LEFT(Table35[[#This Row],[Policy Number ]],2)</f>
        <v>MP</v>
      </c>
      <c r="G9" s="4" t="str">
        <f>IF(Table35[[#This Row],[Years as Member]]&gt;3,"Yes","No")</f>
        <v>Yes</v>
      </c>
    </row>
    <row r="10" spans="1:7" x14ac:dyDescent="0.3">
      <c r="A10" s="5">
        <v>89766</v>
      </c>
      <c r="B10" s="5" t="s">
        <v>86</v>
      </c>
      <c r="C10" s="5" t="s">
        <v>104</v>
      </c>
      <c r="D10" s="21">
        <v>44642</v>
      </c>
      <c r="E10" s="15">
        <v>1</v>
      </c>
      <c r="F10" s="5" t="str">
        <f>LEFT(Table35[[#This Row],[Policy Number ]],2)</f>
        <v>MP</v>
      </c>
      <c r="G10" s="5" t="str">
        <f>IF(Table35[[#This Row],[Years as Member]]&gt;3,"Yes","No")</f>
        <v>No</v>
      </c>
    </row>
    <row r="11" spans="1:7" x14ac:dyDescent="0.3">
      <c r="A11" s="4">
        <v>66220</v>
      </c>
      <c r="B11" s="4" t="s">
        <v>83</v>
      </c>
      <c r="C11" s="8" t="s">
        <v>101</v>
      </c>
      <c r="D11" s="20">
        <v>44645</v>
      </c>
      <c r="E11" s="14">
        <v>5</v>
      </c>
      <c r="F11" s="4" t="str">
        <f>LEFT(Table35[[#This Row],[Policy Number ]],2)</f>
        <v>BP</v>
      </c>
      <c r="G11" s="4" t="str">
        <f>IF(Table35[[#This Row],[Years as Member]]&gt;3,"Yes","No")</f>
        <v>Yes</v>
      </c>
    </row>
    <row r="12" spans="1:7" x14ac:dyDescent="0.3">
      <c r="A12" s="5">
        <v>96565</v>
      </c>
      <c r="B12" s="5" t="s">
        <v>84</v>
      </c>
      <c r="C12" s="5" t="s">
        <v>102</v>
      </c>
      <c r="D12" s="21">
        <v>44635</v>
      </c>
      <c r="E12" s="15">
        <v>2</v>
      </c>
      <c r="F12" s="5" t="str">
        <f>LEFT(Table35[[#This Row],[Policy Number ]],2)</f>
        <v>SP</v>
      </c>
      <c r="G12" s="5" t="str">
        <f>IF(Table35[[#This Row],[Years as Member]]&gt;3,"Yes","No")</f>
        <v>No</v>
      </c>
    </row>
    <row r="13" spans="1:7" x14ac:dyDescent="0.3">
      <c r="A13" s="4">
        <v>75177</v>
      </c>
      <c r="B13" s="4" t="s">
        <v>87</v>
      </c>
      <c r="C13" s="4" t="s">
        <v>105</v>
      </c>
      <c r="D13" s="20">
        <v>44628</v>
      </c>
      <c r="E13" s="14">
        <v>4</v>
      </c>
      <c r="F13" s="4" t="str">
        <f>LEFT(Table35[[#This Row],[Policy Number ]],2)</f>
        <v>MP</v>
      </c>
      <c r="G13" s="4" t="str">
        <f>IF(Table35[[#This Row],[Years as Member]]&gt;3,"Yes","No")</f>
        <v>Yes</v>
      </c>
    </row>
    <row r="14" spans="1:7" x14ac:dyDescent="0.3">
      <c r="A14" s="5">
        <v>68677</v>
      </c>
      <c r="B14" s="5" t="s">
        <v>88</v>
      </c>
      <c r="C14" s="5" t="s">
        <v>106</v>
      </c>
      <c r="D14" s="21">
        <v>44642</v>
      </c>
      <c r="E14" s="15">
        <v>8</v>
      </c>
      <c r="F14" s="5" t="str">
        <f>LEFT(Table35[[#This Row],[Policy Number ]],2)</f>
        <v>MP</v>
      </c>
      <c r="G14" s="5" t="str">
        <f>IF(Table35[[#This Row],[Years as Member]]&gt;3,"Yes","No")</f>
        <v>Yes</v>
      </c>
    </row>
    <row r="15" spans="1:7" x14ac:dyDescent="0.3">
      <c r="A15" s="4">
        <v>66808</v>
      </c>
      <c r="B15" s="4" t="s">
        <v>89</v>
      </c>
      <c r="C15" s="4" t="s">
        <v>107</v>
      </c>
      <c r="D15" s="20">
        <v>44638</v>
      </c>
      <c r="E15" s="14">
        <v>2</v>
      </c>
      <c r="F15" s="4" t="str">
        <f>LEFT(Table35[[#This Row],[Policy Number ]],2)</f>
        <v>SP</v>
      </c>
      <c r="G15" s="4" t="str">
        <f>IF(Table35[[#This Row],[Years as Member]]&gt;3,"Yes","No")</f>
        <v>No</v>
      </c>
    </row>
    <row r="16" spans="1:7" x14ac:dyDescent="0.3">
      <c r="A16" s="5">
        <v>66505</v>
      </c>
      <c r="B16" s="5" t="s">
        <v>90</v>
      </c>
      <c r="C16" s="5" t="s">
        <v>108</v>
      </c>
      <c r="D16" s="21">
        <v>44627</v>
      </c>
      <c r="E16" s="15">
        <v>2</v>
      </c>
      <c r="F16" s="5" t="str">
        <f>LEFT(Table35[[#This Row],[Policy Number ]],2)</f>
        <v>SP</v>
      </c>
      <c r="G16" s="5" t="str">
        <f>IF(Table35[[#This Row],[Years as Member]]&gt;3,"Yes","No")</f>
        <v>No</v>
      </c>
    </row>
    <row r="17" spans="1:7" x14ac:dyDescent="0.3">
      <c r="A17" s="4">
        <v>22222</v>
      </c>
      <c r="B17" s="4" t="s">
        <v>91</v>
      </c>
      <c r="C17" s="4" t="s">
        <v>109</v>
      </c>
      <c r="D17" s="20">
        <v>44635</v>
      </c>
      <c r="E17" s="14">
        <v>4</v>
      </c>
      <c r="F17" s="4" t="str">
        <f>LEFT(Table35[[#This Row],[Policy Number ]],2)</f>
        <v>MP</v>
      </c>
      <c r="G17" s="4" t="str">
        <f>IF(Table35[[#This Row],[Years as Member]]&gt;3,"Yes","No")</f>
        <v>Yes</v>
      </c>
    </row>
    <row r="18" spans="1:7" x14ac:dyDescent="0.3">
      <c r="A18" s="10">
        <v>76377</v>
      </c>
      <c r="B18" s="10" t="s">
        <v>92</v>
      </c>
      <c r="C18" s="10" t="s">
        <v>110</v>
      </c>
      <c r="D18" s="22">
        <v>44635</v>
      </c>
      <c r="E18" s="19">
        <v>4</v>
      </c>
      <c r="F18" s="10" t="str">
        <f>LEFT(Table35[[#This Row],[Policy Number ]],2)</f>
        <v>MP</v>
      </c>
      <c r="G18" s="10" t="str">
        <f>IF(Table35[[#This Row],[Years as Member]]&gt;3,"Yes","No")</f>
        <v>Yes</v>
      </c>
    </row>
    <row r="19" spans="1:7" x14ac:dyDescent="0.3">
      <c r="A19" s="5">
        <v>62829</v>
      </c>
      <c r="B19" s="5" t="s">
        <v>93</v>
      </c>
      <c r="C19" s="5" t="s">
        <v>111</v>
      </c>
      <c r="D19" s="21">
        <v>44651</v>
      </c>
      <c r="E19" s="15">
        <v>8</v>
      </c>
      <c r="F19" s="5" t="str">
        <f>LEFT(Table35[[#This Row],[Policy Number ]],2)</f>
        <v>SP</v>
      </c>
      <c r="G19" s="5" t="str">
        <f>IF(Table35[[#This Row],[Years as Member]]&gt;3,"Yes","No")</f>
        <v>Yes</v>
      </c>
    </row>
    <row r="20" spans="1:7" x14ac:dyDescent="0.3">
      <c r="A20" s="5">
        <v>67879</v>
      </c>
      <c r="B20" s="5" t="s">
        <v>94</v>
      </c>
      <c r="C20" s="5" t="s">
        <v>112</v>
      </c>
      <c r="D20" s="21">
        <v>44636</v>
      </c>
      <c r="E20" s="15">
        <v>8</v>
      </c>
      <c r="F20" s="5" t="str">
        <f>LEFT(Table35[[#This Row],[Policy Number ]],2)</f>
        <v>SP</v>
      </c>
      <c r="G20" s="5" t="str">
        <f>IF(Table35[[#This Row],[Years as Member]]&gt;3,"Yes","No")</f>
        <v>Yes</v>
      </c>
    </row>
    <row r="21" spans="1:7" x14ac:dyDescent="0.3">
      <c r="A21" s="5">
        <v>77777</v>
      </c>
      <c r="B21" s="5" t="s">
        <v>95</v>
      </c>
      <c r="C21" s="5" t="s">
        <v>113</v>
      </c>
      <c r="D21" s="21">
        <v>44646</v>
      </c>
      <c r="E21" s="15">
        <v>4</v>
      </c>
      <c r="F21" s="5" t="str">
        <f>LEFT(Table35[[#This Row],[Policy Number ]],2)</f>
        <v>MP</v>
      </c>
      <c r="G21" s="5" t="str">
        <f>IF(Table35[[#This Row],[Years as Member]]&gt;3,"Yes","No")</f>
        <v>Yes</v>
      </c>
    </row>
    <row r="22" spans="1:7" x14ac:dyDescent="0.3">
      <c r="A22" s="5">
        <v>68998</v>
      </c>
      <c r="B22" s="5" t="s">
        <v>96</v>
      </c>
      <c r="C22" s="5" t="s">
        <v>114</v>
      </c>
      <c r="D22" s="21">
        <v>44646</v>
      </c>
      <c r="E22" s="15">
        <v>3</v>
      </c>
      <c r="F22" s="5" t="str">
        <f>LEFT(Table35[[#This Row],[Policy Number ]],2)</f>
        <v>MP</v>
      </c>
      <c r="G22" s="5" t="str">
        <f>IF(Table35[[#This Row],[Years as Member]]&gt;3,"Yes","No")</f>
        <v>No</v>
      </c>
    </row>
    <row r="23" spans="1:7" x14ac:dyDescent="0.3">
      <c r="A23" s="5">
        <v>87798</v>
      </c>
      <c r="B23" s="5" t="s">
        <v>97</v>
      </c>
      <c r="C23" s="5" t="s">
        <v>115</v>
      </c>
      <c r="D23" s="21">
        <v>44628</v>
      </c>
      <c r="E23" s="15">
        <v>3</v>
      </c>
      <c r="F23" s="5" t="str">
        <f>LEFT(Table35[[#This Row],[Policy Number ]],2)</f>
        <v>MP</v>
      </c>
      <c r="G23" s="5" t="str">
        <f>IF(Table35[[#This Row],[Years as Member]]&gt;3,"Yes","No")</f>
        <v>No</v>
      </c>
    </row>
    <row r="24" spans="1:7" x14ac:dyDescent="0.3">
      <c r="A24" s="10">
        <v>89176</v>
      </c>
      <c r="B24" s="10" t="s">
        <v>98</v>
      </c>
      <c r="C24" s="10" t="s">
        <v>116</v>
      </c>
      <c r="D24" s="22">
        <v>44626</v>
      </c>
      <c r="E24" s="19">
        <v>6</v>
      </c>
      <c r="F24" s="10" t="str">
        <f>LEFT(Table35[[#This Row],[Policy Number ]],2)</f>
        <v>BP</v>
      </c>
      <c r="G24" s="10" t="str">
        <f>IF(Table35[[#This Row],[Years as Member]]&gt;3,"Yes","No")</f>
        <v>Yes</v>
      </c>
    </row>
    <row r="27" spans="1:7" ht="43.2" x14ac:dyDescent="0.3">
      <c r="A27" s="23" t="s">
        <v>9</v>
      </c>
      <c r="B27" s="1" t="s">
        <v>117</v>
      </c>
    </row>
  </sheetData>
  <mergeCells count="2">
    <mergeCell ref="A1:XFD1"/>
    <mergeCell ref="A2:C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tabSelected="1" workbookViewId="0">
      <selection activeCell="H26" sqref="H26"/>
    </sheetView>
  </sheetViews>
  <sheetFormatPr defaultRowHeight="14.4" x14ac:dyDescent="0.3"/>
  <cols>
    <col min="2" max="2" width="9.44140625" customWidth="1"/>
  </cols>
  <sheetData>
    <row r="1" spans="1:2" s="28" customFormat="1" ht="21" x14ac:dyDescent="0.4">
      <c r="A1" s="28" t="s">
        <v>0</v>
      </c>
    </row>
    <row r="2" spans="1:2" x14ac:dyDescent="0.3">
      <c r="A2" s="25" t="s">
        <v>31</v>
      </c>
      <c r="B2" s="25"/>
    </row>
    <row r="3" spans="1:2" x14ac:dyDescent="0.3">
      <c r="A3" t="s">
        <v>32</v>
      </c>
      <c r="B3" t="s">
        <v>33</v>
      </c>
    </row>
    <row r="4" spans="1:2" x14ac:dyDescent="0.3">
      <c r="A4" t="s">
        <v>36</v>
      </c>
      <c r="B4">
        <v>16</v>
      </c>
    </row>
    <row r="5" spans="1:2" x14ac:dyDescent="0.3">
      <c r="A5" t="s">
        <v>35</v>
      </c>
      <c r="B5">
        <v>14</v>
      </c>
    </row>
    <row r="6" spans="1:2" x14ac:dyDescent="0.3">
      <c r="A6" t="s">
        <v>34</v>
      </c>
      <c r="B6">
        <v>20</v>
      </c>
    </row>
  </sheetData>
  <mergeCells count="2">
    <mergeCell ref="A1:XFD1"/>
    <mergeCell ref="A2:B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</vt:lpstr>
      <vt:lpstr>February</vt:lpstr>
      <vt:lpstr>March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PC-LAM</dc:creator>
  <cp:lastModifiedBy>dell7390</cp:lastModifiedBy>
  <dcterms:created xsi:type="dcterms:W3CDTF">2022-12-18T07:40:32Z</dcterms:created>
  <dcterms:modified xsi:type="dcterms:W3CDTF">2025-10-25T04:42:48Z</dcterms:modified>
</cp:coreProperties>
</file>