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7390\Desktop\File đề test\TEST EXCEL_11P\"/>
    </mc:Choice>
  </mc:AlternateContent>
  <xr:revisionPtr revIDLastSave="0" documentId="13_ncr:1_{1A6BDFA4-1DE2-4259-A0B7-D9ABE0EE326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Quote" sheetId="1" r:id="rId1"/>
    <sheet name="Prices" sheetId="2" r:id="rId2"/>
    <sheet name="Inventory" sheetId="7" r:id="rId3"/>
    <sheet name="Orders" sheetId="4" r:id="rId4"/>
    <sheet name="PivotTabl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5" i="2"/>
  <c r="G14" i="1"/>
  <c r="G15" i="1"/>
  <c r="G13" i="1"/>
  <c r="G28" i="1" s="1"/>
  <c r="G30" i="1" s="1"/>
</calcChain>
</file>

<file path=xl/sharedStrings.xml><?xml version="1.0" encoding="utf-8"?>
<sst xmlns="http://schemas.openxmlformats.org/spreadsheetml/2006/main" count="189" uniqueCount="61">
  <si>
    <t>VanArsdel, Ltd</t>
  </si>
  <si>
    <t>Product Quote</t>
  </si>
  <si>
    <t>Reference Number</t>
  </si>
  <si>
    <t>Customer Name</t>
  </si>
  <si>
    <t>Customer Email</t>
  </si>
  <si>
    <t>Customer Telephone</t>
  </si>
  <si>
    <t>Product Name</t>
  </si>
  <si>
    <t>SKU</t>
  </si>
  <si>
    <t>Line Total</t>
  </si>
  <si>
    <t>TGU</t>
  </si>
  <si>
    <t>HGU</t>
  </si>
  <si>
    <t>TWU</t>
  </si>
  <si>
    <t>T-Shirt Green (Unisex)</t>
  </si>
  <si>
    <t>Hoodie Green (Unisex)</t>
  </si>
  <si>
    <t>T-Shirt White (Unisex)</t>
  </si>
  <si>
    <t>Quantity</t>
  </si>
  <si>
    <t xml:space="preserve">Unit Price </t>
  </si>
  <si>
    <t>Subtotal</t>
  </si>
  <si>
    <t>Tax</t>
  </si>
  <si>
    <t>Total</t>
  </si>
  <si>
    <t xml:space="preserve">Product Name </t>
  </si>
  <si>
    <t>Product Type</t>
  </si>
  <si>
    <t>Color</t>
  </si>
  <si>
    <t>In Stock</t>
  </si>
  <si>
    <t>Max Inventory</t>
  </si>
  <si>
    <t>Inventory Level</t>
  </si>
  <si>
    <t>Inventory Notice</t>
  </si>
  <si>
    <t>Unit Cost</t>
  </si>
  <si>
    <t>Unit Price</t>
  </si>
  <si>
    <t>Pice with Tax</t>
  </si>
  <si>
    <t>Markup</t>
  </si>
  <si>
    <t>Tax Rate</t>
  </si>
  <si>
    <t>Hoodie</t>
  </si>
  <si>
    <t>Sweatshirt</t>
  </si>
  <si>
    <t>White</t>
  </si>
  <si>
    <t>Black</t>
  </si>
  <si>
    <t>Blue</t>
  </si>
  <si>
    <t>Green</t>
  </si>
  <si>
    <t>Orange</t>
  </si>
  <si>
    <t>Purple</t>
  </si>
  <si>
    <t>Red</t>
  </si>
  <si>
    <t>T-Shirt</t>
  </si>
  <si>
    <t xml:space="preserve">Customer Name </t>
  </si>
  <si>
    <t>Order Number</t>
  </si>
  <si>
    <t>Order Date</t>
  </si>
  <si>
    <t>Order Description</t>
  </si>
  <si>
    <t>Order Total</t>
  </si>
  <si>
    <t xml:space="preserve">Relecloud </t>
  </si>
  <si>
    <t>Fabrikam Residences</t>
  </si>
  <si>
    <t>Graphic Design Institute</t>
  </si>
  <si>
    <t>Alpine Ski House</t>
  </si>
  <si>
    <t>First Up Consultants</t>
  </si>
  <si>
    <t>Northwind Traders</t>
  </si>
  <si>
    <t>Southridge Video</t>
  </si>
  <si>
    <t>Adventure Works Cycles</t>
  </si>
  <si>
    <t>Trey Research</t>
  </si>
  <si>
    <t>Litwaren, Inc.</t>
  </si>
  <si>
    <t>January</t>
  </si>
  <si>
    <t>February</t>
  </si>
  <si>
    <t>March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</si>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</sst>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charset val="163"/>
      <scheme val="minor"/>
    </font>
    <font>
      <b/>
      <sz val="12"/>
      <color theme="5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D9B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CD9B"/>
        <bgColor theme="1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rgb="FFCC0066"/>
      </left>
      <right/>
      <top style="thick">
        <color rgb="FFCC0066"/>
      </top>
      <bottom/>
      <diagonal/>
    </border>
    <border>
      <left/>
      <right/>
      <top style="thick">
        <color rgb="FFCC0066"/>
      </top>
      <bottom/>
      <diagonal/>
    </border>
    <border>
      <left/>
      <right style="thick">
        <color rgb="FFCC0066"/>
      </right>
      <top style="thick">
        <color rgb="FFCC0066"/>
      </top>
      <bottom/>
      <diagonal/>
    </border>
    <border>
      <left style="thick">
        <color rgb="FFCC0066"/>
      </left>
      <right/>
      <top/>
      <bottom/>
      <diagonal/>
    </border>
    <border>
      <left/>
      <right style="thick">
        <color rgb="FFCC0066"/>
      </right>
      <top/>
      <bottom/>
      <diagonal/>
    </border>
    <border>
      <left style="thick">
        <color rgb="FFCC0066"/>
      </left>
      <right/>
      <top/>
      <bottom style="thick">
        <color rgb="FFCC0066"/>
      </bottom>
      <diagonal/>
    </border>
    <border>
      <left/>
      <right/>
      <top/>
      <bottom style="thick">
        <color rgb="FFCC0066"/>
      </bottom>
      <diagonal/>
    </border>
    <border>
      <left/>
      <right style="thick">
        <color rgb="FFCC0066"/>
      </right>
      <top/>
      <bottom style="thick">
        <color rgb="FFCC006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9" xfId="0" applyFont="1" applyBorder="1" applyAlignment="1">
      <alignment horizontal="center" vertical="center"/>
    </xf>
    <xf numFmtId="44" fontId="5" fillId="0" borderId="10" xfId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4" fontId="5" fillId="0" borderId="12" xfId="1" applyFont="1" applyBorder="1" applyAlignment="1">
      <alignment horizontal="center" vertical="center"/>
    </xf>
    <xf numFmtId="0" fontId="2" fillId="2" borderId="13" xfId="0" applyFont="1" applyFill="1" applyBorder="1"/>
    <xf numFmtId="0" fontId="2" fillId="2" borderId="14" xfId="0" applyFont="1" applyFill="1" applyBorder="1"/>
    <xf numFmtId="0" fontId="0" fillId="2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5" fillId="4" borderId="18" xfId="0" applyFont="1" applyFill="1" applyBorder="1" applyAlignment="1">
      <alignment horizontal="center" vertical="center"/>
    </xf>
    <xf numFmtId="0" fontId="0" fillId="0" borderId="18" xfId="0" applyBorder="1"/>
    <xf numFmtId="0" fontId="0" fillId="4" borderId="18" xfId="0" applyFill="1" applyBorder="1" applyAlignment="1">
      <alignment horizontal="center" vertical="center"/>
    </xf>
    <xf numFmtId="44" fontId="0" fillId="0" borderId="18" xfId="1" applyFont="1" applyBorder="1"/>
    <xf numFmtId="0" fontId="5" fillId="0" borderId="0" xfId="0" applyFont="1" applyAlignment="1">
      <alignment horizontal="right"/>
    </xf>
    <xf numFmtId="9" fontId="0" fillId="7" borderId="19" xfId="0" applyNumberFormat="1" applyFill="1" applyBorder="1" applyAlignment="1">
      <alignment horizontal="left"/>
    </xf>
    <xf numFmtId="0" fontId="5" fillId="0" borderId="0" xfId="0" applyFont="1"/>
    <xf numFmtId="44" fontId="0" fillId="0" borderId="0" xfId="1" applyFont="1"/>
    <xf numFmtId="9" fontId="0" fillId="0" borderId="0" xfId="2" applyFont="1"/>
    <xf numFmtId="1" fontId="0" fillId="0" borderId="0" xfId="0" applyNumberFormat="1"/>
    <xf numFmtId="0" fontId="2" fillId="6" borderId="16" xfId="0" applyFont="1" applyFill="1" applyBorder="1"/>
    <xf numFmtId="0" fontId="2" fillId="6" borderId="17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CC0066"/>
      <color rgb="FFFFE1E2"/>
      <color rgb="FFFFCDCE"/>
      <color rgb="FFFFCD9B"/>
      <color rgb="FFBC004C"/>
      <color rgb="FFFFC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C00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4-443D-A551-58428026DCA6}"/>
              </c:ext>
            </c:extLst>
          </c:dPt>
          <c:dPt>
            <c:idx val="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34-443D-A551-58428026DCA6}"/>
              </c:ext>
            </c:extLst>
          </c:dPt>
          <c:dPt>
            <c:idx val="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34-443D-A551-58428026DCA6}"/>
              </c:ext>
            </c:extLst>
          </c:dPt>
          <c:dPt>
            <c:idx val="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34-443D-A551-58428026DCA6}"/>
              </c:ext>
            </c:extLst>
          </c:dPt>
          <c:dPt>
            <c:idx val="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34-443D-A551-58428026DCA6}"/>
              </c:ext>
            </c:extLst>
          </c:dPt>
          <c:dPt>
            <c:idx val="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34-443D-A551-58428026DCA6}"/>
              </c:ext>
            </c:extLst>
          </c:dPt>
          <c:dPt>
            <c:idx val="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034-443D-A551-58428026DCA6}"/>
              </c:ext>
            </c:extLst>
          </c:dPt>
          <c:dPt>
            <c:idx val="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34-443D-A551-58428026DCA6}"/>
              </c:ext>
            </c:extLst>
          </c:dPt>
          <c:dPt>
            <c:idx val="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034-443D-A551-58428026DCA6}"/>
              </c:ext>
            </c:extLst>
          </c:dPt>
          <c:dPt>
            <c:idx val="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34-443D-A551-58428026DCA6}"/>
              </c:ext>
            </c:extLst>
          </c:dPt>
          <c:dPt>
            <c:idx val="1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34-443D-A551-58428026DCA6}"/>
              </c:ext>
            </c:extLst>
          </c:dPt>
          <c:dPt>
            <c:idx val="1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034-443D-A551-58428026DCA6}"/>
              </c:ext>
            </c:extLst>
          </c:dPt>
          <c:dPt>
            <c:idx val="1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034-443D-A551-58428026DCA6}"/>
              </c:ext>
            </c:extLst>
          </c:dPt>
          <c:dPt>
            <c:idx val="1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034-443D-A551-58428026DCA6}"/>
              </c:ext>
            </c:extLst>
          </c:dPt>
          <c:dPt>
            <c:idx val="1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034-443D-A551-58428026DCA6}"/>
              </c:ext>
            </c:extLst>
          </c:dPt>
          <c:dPt>
            <c:idx val="1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034-443D-A551-58428026DCA6}"/>
              </c:ext>
            </c:extLst>
          </c:dPt>
          <c:dPt>
            <c:idx val="1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034-443D-A551-58428026DCA6}"/>
              </c:ext>
            </c:extLst>
          </c:dPt>
          <c:dPt>
            <c:idx val="1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034-443D-A551-58428026DCA6}"/>
              </c:ext>
            </c:extLst>
          </c:dPt>
          <c:dPt>
            <c:idx val="1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034-443D-A551-58428026DCA6}"/>
              </c:ext>
            </c:extLst>
          </c:dPt>
          <c:dPt>
            <c:idx val="1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034-443D-A551-58428026DCA6}"/>
              </c:ext>
            </c:extLst>
          </c:dPt>
          <c:dPt>
            <c:idx val="2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034-443D-A551-58428026DCA6}"/>
              </c:ext>
            </c:extLst>
          </c:dPt>
          <c:cat>
            <c:strRef>
              <c:f>Prices!$A$5:$A$25</c:f>
              <c:strCache>
                <c:ptCount val="21"/>
                <c:pt idx="0">
                  <c:v>Hoodie Black (Unisex)</c:v>
                </c:pt>
                <c:pt idx="1">
                  <c:v>Hoodie Blue (Unisex)</c:v>
                </c:pt>
                <c:pt idx="2">
                  <c:v>Hoodie Green (Unisex)</c:v>
                </c:pt>
                <c:pt idx="3">
                  <c:v>Hoodie Orange (Unisex)</c:v>
                </c:pt>
                <c:pt idx="4">
                  <c:v>Hoodie Purple (Unisex)</c:v>
                </c:pt>
                <c:pt idx="5">
                  <c:v>Hoodie Red (Unisex)</c:v>
                </c:pt>
                <c:pt idx="6">
                  <c:v>Hoodie White (Unisex)</c:v>
                </c:pt>
                <c:pt idx="7">
                  <c:v>Sweatshirt Black (Unisex)</c:v>
                </c:pt>
                <c:pt idx="8">
                  <c:v>Sweatshirt Blue (Unisex)</c:v>
                </c:pt>
                <c:pt idx="9">
                  <c:v>Sweatshirt Green (Unisex)</c:v>
                </c:pt>
                <c:pt idx="10">
                  <c:v>Sweatshirt Orange (Unisex)</c:v>
                </c:pt>
                <c:pt idx="11">
                  <c:v>Sweatshirt Purple (Unisex)</c:v>
                </c:pt>
                <c:pt idx="12">
                  <c:v>Sweatshirt Red (Unisex)</c:v>
                </c:pt>
                <c:pt idx="13">
                  <c:v>Sweatshirt White (Unisex)</c:v>
                </c:pt>
                <c:pt idx="14">
                  <c:v>T-Shirt Black (Unisex)</c:v>
                </c:pt>
                <c:pt idx="15">
                  <c:v>T-Shirt Blue (Unisex)</c:v>
                </c:pt>
                <c:pt idx="16">
                  <c:v>T-Shirt Green (Unisex)</c:v>
                </c:pt>
                <c:pt idx="17">
                  <c:v>T-Shirt Orange (Unisex)</c:v>
                </c:pt>
                <c:pt idx="18">
                  <c:v>T-Shirt Purple (Unisex)</c:v>
                </c:pt>
                <c:pt idx="19">
                  <c:v>T-Shirt Red (Unisex)</c:v>
                </c:pt>
                <c:pt idx="20">
                  <c:v>T-Shirt White (Unisex)</c:v>
                </c:pt>
              </c:strCache>
            </c:strRef>
          </c:cat>
          <c:val>
            <c:numRef>
              <c:f>Prices!$F$5:$F$25</c:f>
              <c:numCache>
                <c:formatCode>0%</c:formatCode>
                <c:ptCount val="21"/>
                <c:pt idx="0">
                  <c:v>0.1</c:v>
                </c:pt>
                <c:pt idx="1">
                  <c:v>0.17499999999999999</c:v>
                </c:pt>
                <c:pt idx="2">
                  <c:v>0.16</c:v>
                </c:pt>
                <c:pt idx="3">
                  <c:v>0.8</c:v>
                </c:pt>
                <c:pt idx="4">
                  <c:v>0.66666666666666663</c:v>
                </c:pt>
                <c:pt idx="5">
                  <c:v>0.1111111111111111</c:v>
                </c:pt>
                <c:pt idx="6">
                  <c:v>0.08</c:v>
                </c:pt>
                <c:pt idx="7">
                  <c:v>5.2499999999999998E-2</c:v>
                </c:pt>
                <c:pt idx="8">
                  <c:v>0.80400000000000005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0.25</c:v>
                </c:pt>
                <c:pt idx="12">
                  <c:v>0.93333333333333335</c:v>
                </c:pt>
                <c:pt idx="13">
                  <c:v>0.57499999999999996</c:v>
                </c:pt>
                <c:pt idx="14">
                  <c:v>0.57599999999999996</c:v>
                </c:pt>
                <c:pt idx="15">
                  <c:v>0.83333333333333337</c:v>
                </c:pt>
                <c:pt idx="16">
                  <c:v>8.2758620689655171E-2</c:v>
                </c:pt>
                <c:pt idx="17">
                  <c:v>0.8214285714285714</c:v>
                </c:pt>
                <c:pt idx="18">
                  <c:v>0.1</c:v>
                </c:pt>
                <c:pt idx="19">
                  <c:v>0.125</c:v>
                </c:pt>
                <c:pt idx="2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DB7-845D-328E7F134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9518728"/>
        <c:axId val="229517944"/>
      </c:barChart>
      <c:catAx>
        <c:axId val="229518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9517944"/>
        <c:crosses val="autoZero"/>
        <c:auto val="1"/>
        <c:lblAlgn val="ctr"/>
        <c:lblOffset val="100"/>
        <c:noMultiLvlLbl val="0"/>
      </c:catAx>
      <c:valAx>
        <c:axId val="229517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9518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1</xdr:row>
      <xdr:rowOff>114300</xdr:rowOff>
    </xdr:from>
    <xdr:to>
      <xdr:col>8</xdr:col>
      <xdr:colOff>219075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25" totalsRowShown="0" headerRowDxfId="7" dataDxfId="6" dataCellStyle="Currency">
  <autoFilter ref="A4:K25" xr:uid="{00000000-0009-0000-0100-000001000000}"/>
  <tableColumns count="11">
    <tableColumn id="1" xr3:uid="{00000000-0010-0000-0000-000001000000}" name="Product Name ">
      <calculatedColumnFormula>CONCATENATE(B5, " ",C5," (Unisex)")</calculatedColumnFormula>
    </tableColumn>
    <tableColumn id="2" xr3:uid="{00000000-0010-0000-0000-000002000000}" name="Product Type"/>
    <tableColumn id="3" xr3:uid="{00000000-0010-0000-0000-000003000000}" name="Color"/>
    <tableColumn id="4" xr3:uid="{00000000-0010-0000-0000-000004000000}" name="In Stock"/>
    <tableColumn id="5" xr3:uid="{00000000-0010-0000-0000-000005000000}" name="Max Inventory"/>
    <tableColumn id="6" xr3:uid="{00000000-0010-0000-0000-000006000000}" name="Inventory Level" dataDxfId="5" dataCellStyle="Percent">
      <calculatedColumnFormula>D5/E5</calculatedColumnFormula>
    </tableColumn>
    <tableColumn id="7" xr3:uid="{00000000-0010-0000-0000-000007000000}" name="Inventory Notice"/>
    <tableColumn id="8" xr3:uid="{00000000-0010-0000-0000-000008000000}" name="Unit Cost" dataDxfId="4" dataCellStyle="Currency"/>
    <tableColumn id="9" xr3:uid="{00000000-0010-0000-0000-000009000000}" name="Unit Price" dataDxfId="3" dataCellStyle="Currency">
      <calculatedColumnFormula>H5*2</calculatedColumnFormula>
    </tableColumn>
    <tableColumn id="10" xr3:uid="{00000000-0010-0000-0000-00000A000000}" name="Tax" dataDxfId="2" dataCellStyle="Currency"/>
    <tableColumn id="11" xr3:uid="{00000000-0010-0000-0000-00000B000000}" name="Pice with Tax" dataDxfId="1" dataCellStyle="Currency">
      <calculatedColumnFormula>I5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7" totalsRowShown="0">
  <autoFilter ref="A1:E37" xr:uid="{00000000-0009-0000-0100-000002000000}"/>
  <tableColumns count="5">
    <tableColumn id="1" xr3:uid="{00000000-0010-0000-0100-000001000000}" name="Customer Name "/>
    <tableColumn id="2" xr3:uid="{00000000-0010-0000-0100-000002000000}" name="Order Number"/>
    <tableColumn id="3" xr3:uid="{00000000-0010-0000-0100-000003000000}" name="Order Date"/>
    <tableColumn id="4" xr3:uid="{00000000-0010-0000-0100-000004000000}" name="Order Description"/>
    <tableColumn id="5" xr3:uid="{00000000-0010-0000-0100-000005000000}" name="Order Total" dataDxfId="0" dataCellStyle="Currenc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3"/>
  <sheetViews>
    <sheetView showGridLines="0" workbookViewId="0"/>
  </sheetViews>
  <sheetFormatPr defaultRowHeight="14.4" x14ac:dyDescent="0.3"/>
  <cols>
    <col min="1" max="1" width="9.44140625" customWidth="1"/>
    <col min="2" max="2" width="4" customWidth="1"/>
    <col min="3" max="3" width="6.77734375" bestFit="1" customWidth="1"/>
    <col min="4" max="4" width="19.44140625" bestFit="1" customWidth="1"/>
    <col min="5" max="5" width="10.21875" bestFit="1" customWidth="1"/>
    <col min="6" max="6" width="11.6640625" customWidth="1"/>
    <col min="7" max="7" width="11.44140625" bestFit="1" customWidth="1"/>
    <col min="8" max="8" width="4.21875" customWidth="1"/>
  </cols>
  <sheetData>
    <row r="1" spans="2:8" ht="15" thickBot="1" x14ac:dyDescent="0.35"/>
    <row r="2" spans="2:8" ht="15" thickTop="1" x14ac:dyDescent="0.3">
      <c r="B2" s="1"/>
      <c r="C2" s="2"/>
      <c r="D2" s="2"/>
      <c r="E2" s="2"/>
      <c r="F2" s="2"/>
      <c r="G2" s="2"/>
      <c r="H2" s="3"/>
    </row>
    <row r="3" spans="2:8" ht="21" x14ac:dyDescent="0.4">
      <c r="B3" s="4"/>
      <c r="C3" s="30" t="s">
        <v>0</v>
      </c>
      <c r="D3" s="30"/>
      <c r="E3" s="30"/>
      <c r="F3" s="30"/>
      <c r="G3" s="30"/>
      <c r="H3" s="5"/>
    </row>
    <row r="4" spans="2:8" x14ac:dyDescent="0.3">
      <c r="B4" s="4"/>
      <c r="H4" s="5"/>
    </row>
    <row r="5" spans="2:8" ht="15.6" x14ac:dyDescent="0.3">
      <c r="B5" s="4"/>
      <c r="C5" s="31" t="s">
        <v>1</v>
      </c>
      <c r="D5" s="31"/>
      <c r="E5" s="31"/>
      <c r="F5" s="31"/>
      <c r="G5" s="31"/>
      <c r="H5" s="5"/>
    </row>
    <row r="6" spans="2:8" x14ac:dyDescent="0.3">
      <c r="B6" s="4"/>
      <c r="H6" s="5"/>
    </row>
    <row r="7" spans="2:8" x14ac:dyDescent="0.3">
      <c r="B7" s="4"/>
      <c r="D7" s="22" t="s">
        <v>2</v>
      </c>
      <c r="H7" s="5"/>
    </row>
    <row r="8" spans="2:8" x14ac:dyDescent="0.3">
      <c r="B8" s="4"/>
      <c r="D8" s="22" t="s">
        <v>3</v>
      </c>
      <c r="E8" s="16"/>
      <c r="F8" s="17"/>
      <c r="H8" s="5"/>
    </row>
    <row r="9" spans="2:8" x14ac:dyDescent="0.3">
      <c r="B9" s="4"/>
      <c r="D9" s="22" t="s">
        <v>4</v>
      </c>
      <c r="E9" s="16"/>
      <c r="F9" s="17"/>
      <c r="H9" s="5"/>
    </row>
    <row r="10" spans="2:8" x14ac:dyDescent="0.3">
      <c r="B10" s="4"/>
      <c r="D10" s="22" t="s">
        <v>5</v>
      </c>
      <c r="E10" s="16"/>
      <c r="F10" s="17"/>
      <c r="H10" s="5"/>
    </row>
    <row r="11" spans="2:8" ht="15" thickBot="1" x14ac:dyDescent="0.35">
      <c r="B11" s="4"/>
      <c r="E11" s="28"/>
      <c r="F11" s="29"/>
      <c r="H11" s="5"/>
    </row>
    <row r="12" spans="2:8" ht="15" thickBot="1" x14ac:dyDescent="0.35">
      <c r="B12" s="4"/>
      <c r="C12" s="13" t="s">
        <v>7</v>
      </c>
      <c r="D12" s="13" t="s">
        <v>6</v>
      </c>
      <c r="G12" s="14" t="s">
        <v>8</v>
      </c>
      <c r="H12" s="5"/>
    </row>
    <row r="13" spans="2:8" ht="15" thickBot="1" x14ac:dyDescent="0.35">
      <c r="B13" s="4"/>
      <c r="C13" s="18" t="s">
        <v>9</v>
      </c>
      <c r="D13" s="19" t="s">
        <v>12</v>
      </c>
      <c r="E13" s="15" t="s">
        <v>15</v>
      </c>
      <c r="F13" s="15" t="s">
        <v>16</v>
      </c>
      <c r="G13" s="21">
        <f>F14*E14</f>
        <v>240</v>
      </c>
      <c r="H13" s="5"/>
    </row>
    <row r="14" spans="2:8" ht="15" thickBot="1" x14ac:dyDescent="0.35">
      <c r="B14" s="4"/>
      <c r="C14" s="18" t="s">
        <v>10</v>
      </c>
      <c r="D14" s="19" t="s">
        <v>13</v>
      </c>
      <c r="E14" s="20">
        <v>10</v>
      </c>
      <c r="F14" s="21">
        <v>24</v>
      </c>
      <c r="G14" s="21">
        <f>F15*E15</f>
        <v>2400</v>
      </c>
      <c r="H14" s="5"/>
    </row>
    <row r="15" spans="2:8" ht="15" thickBot="1" x14ac:dyDescent="0.35">
      <c r="B15" s="4"/>
      <c r="C15" s="18" t="s">
        <v>11</v>
      </c>
      <c r="D15" s="19" t="s">
        <v>14</v>
      </c>
      <c r="E15" s="20">
        <v>100</v>
      </c>
      <c r="F15" s="21">
        <v>24</v>
      </c>
      <c r="G15" s="21">
        <f>F16*E16</f>
        <v>9000</v>
      </c>
      <c r="H15" s="5"/>
    </row>
    <row r="16" spans="2:8" ht="15" thickBot="1" x14ac:dyDescent="0.35">
      <c r="B16" s="4"/>
      <c r="C16" s="20"/>
      <c r="D16" s="19"/>
      <c r="E16" s="20">
        <v>30</v>
      </c>
      <c r="F16" s="21">
        <v>300</v>
      </c>
      <c r="G16" s="21"/>
      <c r="H16" s="5"/>
    </row>
    <row r="17" spans="2:8" ht="15" thickBot="1" x14ac:dyDescent="0.35">
      <c r="B17" s="4"/>
      <c r="C17" s="20"/>
      <c r="D17" s="19"/>
      <c r="E17" s="20"/>
      <c r="F17" s="21"/>
      <c r="G17" s="21"/>
      <c r="H17" s="5"/>
    </row>
    <row r="18" spans="2:8" ht="15" thickBot="1" x14ac:dyDescent="0.35">
      <c r="B18" s="4"/>
      <c r="C18" s="20"/>
      <c r="D18" s="19"/>
      <c r="E18" s="20"/>
      <c r="F18" s="21"/>
      <c r="G18" s="21"/>
      <c r="H18" s="5"/>
    </row>
    <row r="19" spans="2:8" ht="15" thickBot="1" x14ac:dyDescent="0.35">
      <c r="B19" s="4"/>
      <c r="C19" s="20"/>
      <c r="D19" s="19"/>
      <c r="E19" s="20"/>
      <c r="F19" s="21"/>
      <c r="G19" s="21"/>
      <c r="H19" s="5"/>
    </row>
    <row r="20" spans="2:8" ht="15" thickBot="1" x14ac:dyDescent="0.35">
      <c r="B20" s="4"/>
      <c r="C20" s="20"/>
      <c r="D20" s="19"/>
      <c r="E20" s="20"/>
      <c r="F20" s="21"/>
      <c r="G20" s="21"/>
      <c r="H20" s="5"/>
    </row>
    <row r="21" spans="2:8" ht="15" thickBot="1" x14ac:dyDescent="0.35">
      <c r="B21" s="4"/>
      <c r="C21" s="20"/>
      <c r="D21" s="19"/>
      <c r="E21" s="20"/>
      <c r="F21" s="21"/>
      <c r="G21" s="21"/>
      <c r="H21" s="5"/>
    </row>
    <row r="22" spans="2:8" ht="15" thickBot="1" x14ac:dyDescent="0.35">
      <c r="B22" s="4"/>
      <c r="C22" s="20"/>
      <c r="D22" s="19"/>
      <c r="E22" s="20"/>
      <c r="F22" s="21"/>
      <c r="G22" s="21"/>
      <c r="H22" s="5"/>
    </row>
    <row r="23" spans="2:8" ht="15" thickBot="1" x14ac:dyDescent="0.35">
      <c r="B23" s="4"/>
      <c r="C23" s="20"/>
      <c r="D23" s="19"/>
      <c r="E23" s="20"/>
      <c r="F23" s="21"/>
      <c r="G23" s="21"/>
      <c r="H23" s="5"/>
    </row>
    <row r="24" spans="2:8" ht="15" thickBot="1" x14ac:dyDescent="0.35">
      <c r="B24" s="4"/>
      <c r="C24" s="20"/>
      <c r="D24" s="19"/>
      <c r="E24" s="20"/>
      <c r="F24" s="21"/>
      <c r="G24" s="21"/>
      <c r="H24" s="5"/>
    </row>
    <row r="25" spans="2:8" ht="15" thickBot="1" x14ac:dyDescent="0.35">
      <c r="B25" s="4"/>
      <c r="C25" s="20"/>
      <c r="D25" s="19"/>
      <c r="E25" s="20"/>
      <c r="F25" s="21"/>
      <c r="G25" s="21"/>
      <c r="H25" s="5"/>
    </row>
    <row r="26" spans="2:8" ht="15" thickBot="1" x14ac:dyDescent="0.35">
      <c r="B26" s="4"/>
      <c r="C26" s="20"/>
      <c r="D26" s="19"/>
      <c r="E26" s="20"/>
      <c r="F26" s="21"/>
      <c r="G26" s="21"/>
      <c r="H26" s="5"/>
    </row>
    <row r="27" spans="2:8" ht="15" thickBot="1" x14ac:dyDescent="0.35">
      <c r="B27" s="4"/>
      <c r="C27" s="20"/>
      <c r="D27" s="19"/>
      <c r="E27" s="20"/>
      <c r="F27" s="21"/>
      <c r="G27" s="21"/>
      <c r="H27" s="5"/>
    </row>
    <row r="28" spans="2:8" ht="15" thickBot="1" x14ac:dyDescent="0.35">
      <c r="B28" s="4"/>
      <c r="E28" s="20"/>
      <c r="F28" s="21"/>
      <c r="G28" s="10">
        <f>SUM(G13:G15)</f>
        <v>11640</v>
      </c>
      <c r="H28" s="5"/>
    </row>
    <row r="29" spans="2:8" x14ac:dyDescent="0.3">
      <c r="B29" s="4"/>
      <c r="F29" s="9" t="s">
        <v>17</v>
      </c>
      <c r="G29" s="10">
        <v>931.2</v>
      </c>
      <c r="H29" s="5"/>
    </row>
    <row r="30" spans="2:8" ht="15" thickBot="1" x14ac:dyDescent="0.35">
      <c r="B30" s="4"/>
      <c r="F30" s="9" t="s">
        <v>18</v>
      </c>
      <c r="G30" s="12">
        <f>SUM(G28:G29)</f>
        <v>12571.2</v>
      </c>
      <c r="H30" s="5"/>
    </row>
    <row r="31" spans="2:8" ht="15" thickBot="1" x14ac:dyDescent="0.35">
      <c r="B31" s="6"/>
      <c r="C31" s="7"/>
      <c r="D31" s="7"/>
      <c r="F31" s="11" t="s">
        <v>19</v>
      </c>
      <c r="G31" s="7"/>
      <c r="H31" s="8"/>
    </row>
    <row r="32" spans="2:8" ht="15.6" thickTop="1" thickBot="1" x14ac:dyDescent="0.35">
      <c r="E32" s="7"/>
      <c r="F32" s="7"/>
    </row>
    <row r="33" ht="15" thickTop="1" x14ac:dyDescent="0.3"/>
  </sheetData>
  <mergeCells count="3">
    <mergeCell ref="E11:F11"/>
    <mergeCell ref="C3:G3"/>
    <mergeCell ref="C5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zoomScale="115" zoomScaleNormal="115" workbookViewId="0">
      <selection activeCell="C2" sqref="C2"/>
    </sheetView>
  </sheetViews>
  <sheetFormatPr defaultRowHeight="14.4" x14ac:dyDescent="0.3"/>
  <cols>
    <col min="1" max="1" width="23.33203125" bestFit="1" customWidth="1"/>
    <col min="2" max="2" width="14" customWidth="1"/>
    <col min="4" max="4" width="9.33203125" customWidth="1"/>
    <col min="5" max="5" width="14.6640625" customWidth="1"/>
    <col min="6" max="6" width="15.77734375" customWidth="1"/>
    <col min="7" max="7" width="16.44140625" customWidth="1"/>
    <col min="8" max="8" width="10.21875" customWidth="1"/>
    <col min="9" max="9" width="10.6640625" customWidth="1"/>
    <col min="10" max="10" width="7.21875" bestFit="1" customWidth="1"/>
    <col min="11" max="11" width="13.77734375" customWidth="1"/>
  </cols>
  <sheetData>
    <row r="1" spans="1:12" ht="15" thickBot="1" x14ac:dyDescent="0.35">
      <c r="A1" t="s">
        <v>60</v>
      </c>
      <c r="J1" s="24" t="s">
        <v>30</v>
      </c>
      <c r="L1" s="24" t="s">
        <v>31</v>
      </c>
    </row>
    <row r="2" spans="1:12" ht="15.6" thickTop="1" thickBot="1" x14ac:dyDescent="0.35">
      <c r="J2" s="23">
        <v>1</v>
      </c>
      <c r="L2" s="23">
        <v>0.08</v>
      </c>
    </row>
    <row r="3" spans="1:12" ht="15" thickTop="1" x14ac:dyDescent="0.3"/>
    <row r="4" spans="1:12" x14ac:dyDescent="0.3">
      <c r="A4" s="24" t="s">
        <v>20</v>
      </c>
      <c r="B4" s="24" t="s">
        <v>21</v>
      </c>
      <c r="C4" s="24" t="s">
        <v>22</v>
      </c>
      <c r="D4" s="24" t="s">
        <v>23</v>
      </c>
      <c r="E4" s="24" t="s">
        <v>24</v>
      </c>
      <c r="F4" s="24" t="s">
        <v>25</v>
      </c>
      <c r="G4" s="24" t="s">
        <v>26</v>
      </c>
      <c r="H4" s="24" t="s">
        <v>27</v>
      </c>
      <c r="I4" s="24" t="s">
        <v>28</v>
      </c>
      <c r="J4" s="24" t="s">
        <v>18</v>
      </c>
      <c r="K4" s="24" t="s">
        <v>29</v>
      </c>
    </row>
    <row r="5" spans="1:12" x14ac:dyDescent="0.3">
      <c r="A5" t="str">
        <f>CONCATENATE(B5, " ",C5," (Unisex)")</f>
        <v>Hoodie Black (Unisex)</v>
      </c>
      <c r="B5" t="s">
        <v>32</v>
      </c>
      <c r="C5" t="s">
        <v>35</v>
      </c>
      <c r="D5">
        <v>20</v>
      </c>
      <c r="E5">
        <v>200</v>
      </c>
      <c r="F5" s="26">
        <f>D5/E5</f>
        <v>0.1</v>
      </c>
      <c r="H5" s="25">
        <v>15</v>
      </c>
      <c r="I5" s="25">
        <f>H5*2</f>
        <v>30</v>
      </c>
      <c r="J5" s="25"/>
      <c r="K5" s="25">
        <f>I5</f>
        <v>30</v>
      </c>
    </row>
    <row r="6" spans="1:12" x14ac:dyDescent="0.3">
      <c r="A6" t="str">
        <f t="shared" ref="A6:A25" si="0">CONCATENATE(B6, " ",C6," (Unisex)")</f>
        <v>Hoodie Blue (Unisex)</v>
      </c>
      <c r="B6" t="s">
        <v>32</v>
      </c>
      <c r="C6" t="s">
        <v>36</v>
      </c>
      <c r="D6">
        <v>42</v>
      </c>
      <c r="E6">
        <v>240</v>
      </c>
      <c r="F6" s="26">
        <f t="shared" ref="F6:F25" si="1">D6/E6</f>
        <v>0.17499999999999999</v>
      </c>
      <c r="H6" s="25">
        <v>15</v>
      </c>
      <c r="I6" s="25">
        <f t="shared" ref="I6:I25" si="2">H6*2</f>
        <v>30</v>
      </c>
      <c r="J6" s="25"/>
      <c r="K6" s="25">
        <f t="shared" ref="K6:K25" si="3">I6</f>
        <v>30</v>
      </c>
    </row>
    <row r="7" spans="1:12" x14ac:dyDescent="0.3">
      <c r="A7" t="str">
        <f t="shared" si="0"/>
        <v>Hoodie Green (Unisex)</v>
      </c>
      <c r="B7" t="s">
        <v>32</v>
      </c>
      <c r="C7" t="s">
        <v>37</v>
      </c>
      <c r="D7">
        <v>24</v>
      </c>
      <c r="E7">
        <v>150</v>
      </c>
      <c r="F7" s="26">
        <f t="shared" si="1"/>
        <v>0.16</v>
      </c>
      <c r="H7" s="25">
        <v>15</v>
      </c>
      <c r="I7" s="25">
        <f t="shared" si="2"/>
        <v>30</v>
      </c>
      <c r="J7" s="25"/>
      <c r="K7" s="25">
        <f t="shared" si="3"/>
        <v>30</v>
      </c>
    </row>
    <row r="8" spans="1:12" x14ac:dyDescent="0.3">
      <c r="A8" t="str">
        <f t="shared" si="0"/>
        <v>Hoodie Orange (Unisex)</v>
      </c>
      <c r="B8" t="s">
        <v>32</v>
      </c>
      <c r="C8" t="s">
        <v>38</v>
      </c>
      <c r="D8">
        <v>120</v>
      </c>
      <c r="E8">
        <v>150</v>
      </c>
      <c r="F8" s="26">
        <f t="shared" si="1"/>
        <v>0.8</v>
      </c>
      <c r="H8" s="25">
        <v>15</v>
      </c>
      <c r="I8" s="25">
        <f t="shared" si="2"/>
        <v>30</v>
      </c>
      <c r="J8" s="25"/>
      <c r="K8" s="25">
        <f t="shared" si="3"/>
        <v>30</v>
      </c>
    </row>
    <row r="9" spans="1:12" x14ac:dyDescent="0.3">
      <c r="A9" t="str">
        <f t="shared" si="0"/>
        <v>Hoodie Purple (Unisex)</v>
      </c>
      <c r="B9" t="s">
        <v>32</v>
      </c>
      <c r="C9" t="s">
        <v>39</v>
      </c>
      <c r="D9">
        <v>80</v>
      </c>
      <c r="E9">
        <v>120</v>
      </c>
      <c r="F9" s="26">
        <f t="shared" si="1"/>
        <v>0.66666666666666663</v>
      </c>
      <c r="H9" s="25">
        <v>15</v>
      </c>
      <c r="I9" s="25">
        <f t="shared" si="2"/>
        <v>30</v>
      </c>
      <c r="J9" s="25"/>
      <c r="K9" s="25">
        <f t="shared" si="3"/>
        <v>30</v>
      </c>
    </row>
    <row r="10" spans="1:12" x14ac:dyDescent="0.3">
      <c r="A10" t="str">
        <f t="shared" si="0"/>
        <v>Hoodie Red (Unisex)</v>
      </c>
      <c r="B10" t="s">
        <v>32</v>
      </c>
      <c r="C10" t="s">
        <v>40</v>
      </c>
      <c r="D10">
        <v>20</v>
      </c>
      <c r="E10">
        <v>180</v>
      </c>
      <c r="F10" s="26">
        <f t="shared" si="1"/>
        <v>0.1111111111111111</v>
      </c>
      <c r="H10" s="25">
        <v>15</v>
      </c>
      <c r="I10" s="25">
        <f t="shared" si="2"/>
        <v>30</v>
      </c>
      <c r="J10" s="25"/>
      <c r="K10" s="25">
        <f t="shared" si="3"/>
        <v>30</v>
      </c>
    </row>
    <row r="11" spans="1:12" x14ac:dyDescent="0.3">
      <c r="A11" t="str">
        <f t="shared" si="0"/>
        <v>Hoodie White (Unisex)</v>
      </c>
      <c r="B11" t="s">
        <v>32</v>
      </c>
      <c r="C11" t="s">
        <v>34</v>
      </c>
      <c r="D11">
        <v>24</v>
      </c>
      <c r="E11">
        <v>300</v>
      </c>
      <c r="F11" s="26">
        <f t="shared" si="1"/>
        <v>0.08</v>
      </c>
      <c r="H11" s="25">
        <v>15</v>
      </c>
      <c r="I11" s="25">
        <f t="shared" si="2"/>
        <v>30</v>
      </c>
      <c r="J11" s="25"/>
      <c r="K11" s="25">
        <f t="shared" si="3"/>
        <v>30</v>
      </c>
    </row>
    <row r="12" spans="1:12" x14ac:dyDescent="0.3">
      <c r="A12" t="str">
        <f t="shared" si="0"/>
        <v>Sweatshirt Black (Unisex)</v>
      </c>
      <c r="B12" t="s">
        <v>33</v>
      </c>
      <c r="C12" t="s">
        <v>35</v>
      </c>
      <c r="D12">
        <v>21</v>
      </c>
      <c r="E12">
        <v>400</v>
      </c>
      <c r="F12" s="26">
        <f t="shared" si="1"/>
        <v>5.2499999999999998E-2</v>
      </c>
      <c r="H12" s="25">
        <v>12</v>
      </c>
      <c r="I12" s="25">
        <f t="shared" si="2"/>
        <v>24</v>
      </c>
      <c r="J12" s="25"/>
      <c r="K12" s="25">
        <f t="shared" si="3"/>
        <v>24</v>
      </c>
    </row>
    <row r="13" spans="1:12" x14ac:dyDescent="0.3">
      <c r="A13" t="str">
        <f t="shared" si="0"/>
        <v>Sweatshirt Blue (Unisex)</v>
      </c>
      <c r="B13" t="s">
        <v>33</v>
      </c>
      <c r="C13" t="s">
        <v>36</v>
      </c>
      <c r="D13">
        <v>201</v>
      </c>
      <c r="E13">
        <v>250</v>
      </c>
      <c r="F13" s="26">
        <f t="shared" si="1"/>
        <v>0.80400000000000005</v>
      </c>
      <c r="H13" s="25">
        <v>12</v>
      </c>
      <c r="I13" s="25">
        <f t="shared" si="2"/>
        <v>24</v>
      </c>
      <c r="J13" s="25"/>
      <c r="K13" s="25">
        <f t="shared" si="3"/>
        <v>24</v>
      </c>
    </row>
    <row r="14" spans="1:12" x14ac:dyDescent="0.3">
      <c r="A14" t="str">
        <f t="shared" si="0"/>
        <v>Sweatshirt Green (Unisex)</v>
      </c>
      <c r="B14" t="s">
        <v>33</v>
      </c>
      <c r="C14" t="s">
        <v>37</v>
      </c>
      <c r="D14">
        <v>140</v>
      </c>
      <c r="E14">
        <v>150</v>
      </c>
      <c r="F14" s="26">
        <f t="shared" si="1"/>
        <v>0.93333333333333335</v>
      </c>
      <c r="H14" s="25">
        <v>12</v>
      </c>
      <c r="I14" s="25">
        <f t="shared" si="2"/>
        <v>24</v>
      </c>
      <c r="J14" s="25"/>
      <c r="K14" s="25">
        <f t="shared" si="3"/>
        <v>24</v>
      </c>
    </row>
    <row r="15" spans="1:12" x14ac:dyDescent="0.3">
      <c r="A15" t="str">
        <f t="shared" si="0"/>
        <v>Sweatshirt Orange (Unisex)</v>
      </c>
      <c r="B15" t="s">
        <v>33</v>
      </c>
      <c r="C15" t="s">
        <v>38</v>
      </c>
      <c r="D15">
        <v>120</v>
      </c>
      <c r="E15">
        <v>140</v>
      </c>
      <c r="F15" s="26">
        <f t="shared" si="1"/>
        <v>0.8571428571428571</v>
      </c>
      <c r="H15" s="25">
        <v>12</v>
      </c>
      <c r="I15" s="25">
        <f t="shared" si="2"/>
        <v>24</v>
      </c>
      <c r="J15" s="25"/>
      <c r="K15" s="25">
        <f t="shared" si="3"/>
        <v>24</v>
      </c>
    </row>
    <row r="16" spans="1:12" x14ac:dyDescent="0.3">
      <c r="A16" t="str">
        <f t="shared" si="0"/>
        <v>Sweatshirt Purple (Unisex)</v>
      </c>
      <c r="B16" t="s">
        <v>33</v>
      </c>
      <c r="C16" t="s">
        <v>39</v>
      </c>
      <c r="D16">
        <v>20</v>
      </c>
      <c r="E16">
        <v>80</v>
      </c>
      <c r="F16" s="26">
        <f t="shared" si="1"/>
        <v>0.25</v>
      </c>
      <c r="H16" s="25">
        <v>12</v>
      </c>
      <c r="I16" s="25">
        <f t="shared" si="2"/>
        <v>24</v>
      </c>
      <c r="J16" s="25"/>
      <c r="K16" s="25">
        <f t="shared" si="3"/>
        <v>24</v>
      </c>
    </row>
    <row r="17" spans="1:11" x14ac:dyDescent="0.3">
      <c r="A17" t="str">
        <f t="shared" si="0"/>
        <v>Sweatshirt Red (Unisex)</v>
      </c>
      <c r="B17" t="s">
        <v>33</v>
      </c>
      <c r="C17" t="s">
        <v>40</v>
      </c>
      <c r="D17">
        <v>140</v>
      </c>
      <c r="E17">
        <v>150</v>
      </c>
      <c r="F17" s="26">
        <f t="shared" si="1"/>
        <v>0.93333333333333335</v>
      </c>
      <c r="H17" s="25">
        <v>12</v>
      </c>
      <c r="I17" s="25">
        <f t="shared" si="2"/>
        <v>24</v>
      </c>
      <c r="J17" s="25"/>
      <c r="K17" s="25">
        <f t="shared" si="3"/>
        <v>24</v>
      </c>
    </row>
    <row r="18" spans="1:11" x14ac:dyDescent="0.3">
      <c r="A18" t="str">
        <f t="shared" si="0"/>
        <v>Sweatshirt White (Unisex)</v>
      </c>
      <c r="B18" t="s">
        <v>33</v>
      </c>
      <c r="C18" t="s">
        <v>34</v>
      </c>
      <c r="D18">
        <v>230</v>
      </c>
      <c r="E18">
        <v>400</v>
      </c>
      <c r="F18" s="26">
        <f t="shared" si="1"/>
        <v>0.57499999999999996</v>
      </c>
      <c r="H18" s="25">
        <v>12</v>
      </c>
      <c r="I18" s="25">
        <f t="shared" si="2"/>
        <v>24</v>
      </c>
      <c r="J18" s="25"/>
      <c r="K18" s="25">
        <f t="shared" si="3"/>
        <v>24</v>
      </c>
    </row>
    <row r="19" spans="1:11" x14ac:dyDescent="0.3">
      <c r="A19" t="str">
        <f t="shared" si="0"/>
        <v>T-Shirt Black (Unisex)</v>
      </c>
      <c r="B19" t="s">
        <v>41</v>
      </c>
      <c r="C19" t="s">
        <v>35</v>
      </c>
      <c r="D19">
        <v>144</v>
      </c>
      <c r="E19">
        <v>250</v>
      </c>
      <c r="F19" s="26">
        <f t="shared" si="1"/>
        <v>0.57599999999999996</v>
      </c>
      <c r="H19" s="25">
        <v>4.3499999999999996</v>
      </c>
      <c r="I19" s="25">
        <f t="shared" si="2"/>
        <v>8.6999999999999993</v>
      </c>
      <c r="J19" s="25"/>
      <c r="K19" s="25">
        <f t="shared" si="3"/>
        <v>8.6999999999999993</v>
      </c>
    </row>
    <row r="20" spans="1:11" x14ac:dyDescent="0.3">
      <c r="A20" t="str">
        <f t="shared" si="0"/>
        <v>T-Shirt Blue (Unisex)</v>
      </c>
      <c r="B20" t="s">
        <v>41</v>
      </c>
      <c r="C20" t="s">
        <v>36</v>
      </c>
      <c r="D20">
        <v>250</v>
      </c>
      <c r="E20">
        <v>300</v>
      </c>
      <c r="F20" s="26">
        <f t="shared" si="1"/>
        <v>0.83333333333333337</v>
      </c>
      <c r="H20" s="25">
        <v>4.3499999999999996</v>
      </c>
      <c r="I20" s="25">
        <f t="shared" si="2"/>
        <v>8.6999999999999993</v>
      </c>
      <c r="J20" s="25"/>
      <c r="K20" s="25">
        <f t="shared" si="3"/>
        <v>8.6999999999999993</v>
      </c>
    </row>
    <row r="21" spans="1:11" x14ac:dyDescent="0.3">
      <c r="A21" t="str">
        <f t="shared" si="0"/>
        <v>T-Shirt Green (Unisex)</v>
      </c>
      <c r="B21" t="s">
        <v>41</v>
      </c>
      <c r="C21" t="s">
        <v>37</v>
      </c>
      <c r="D21">
        <v>24</v>
      </c>
      <c r="E21">
        <v>290</v>
      </c>
      <c r="F21" s="26">
        <f t="shared" si="1"/>
        <v>8.2758620689655171E-2</v>
      </c>
      <c r="H21" s="25">
        <v>4.3499999999999996</v>
      </c>
      <c r="I21" s="25">
        <f t="shared" si="2"/>
        <v>8.6999999999999993</v>
      </c>
      <c r="J21" s="25"/>
      <c r="K21" s="25">
        <f t="shared" si="3"/>
        <v>8.6999999999999993</v>
      </c>
    </row>
    <row r="22" spans="1:11" x14ac:dyDescent="0.3">
      <c r="A22" t="str">
        <f t="shared" si="0"/>
        <v>T-Shirt Orange (Unisex)</v>
      </c>
      <c r="B22" t="s">
        <v>41</v>
      </c>
      <c r="C22" t="s">
        <v>38</v>
      </c>
      <c r="D22">
        <v>115</v>
      </c>
      <c r="E22">
        <v>140</v>
      </c>
      <c r="F22" s="26">
        <f t="shared" si="1"/>
        <v>0.8214285714285714</v>
      </c>
      <c r="H22" s="25">
        <v>4.3499999999999996</v>
      </c>
      <c r="I22" s="25">
        <f t="shared" si="2"/>
        <v>8.6999999999999993</v>
      </c>
      <c r="J22" s="25"/>
      <c r="K22" s="25">
        <f t="shared" si="3"/>
        <v>8.6999999999999993</v>
      </c>
    </row>
    <row r="23" spans="1:11" x14ac:dyDescent="0.3">
      <c r="A23" t="str">
        <f t="shared" si="0"/>
        <v>T-Shirt Purple (Unisex)</v>
      </c>
      <c r="B23" t="s">
        <v>41</v>
      </c>
      <c r="C23" t="s">
        <v>39</v>
      </c>
      <c r="D23">
        <v>25</v>
      </c>
      <c r="E23">
        <v>250</v>
      </c>
      <c r="F23" s="26">
        <f t="shared" si="1"/>
        <v>0.1</v>
      </c>
      <c r="H23" s="25">
        <v>4.3499999999999996</v>
      </c>
      <c r="I23" s="25">
        <f t="shared" si="2"/>
        <v>8.6999999999999993</v>
      </c>
      <c r="J23" s="25"/>
      <c r="K23" s="25">
        <f t="shared" si="3"/>
        <v>8.6999999999999993</v>
      </c>
    </row>
    <row r="24" spans="1:11" x14ac:dyDescent="0.3">
      <c r="A24" t="str">
        <f t="shared" si="0"/>
        <v>T-Shirt Red (Unisex)</v>
      </c>
      <c r="B24" t="s">
        <v>41</v>
      </c>
      <c r="C24" t="s">
        <v>40</v>
      </c>
      <c r="D24">
        <v>50</v>
      </c>
      <c r="E24">
        <v>400</v>
      </c>
      <c r="F24" s="26">
        <f t="shared" si="1"/>
        <v>0.125</v>
      </c>
      <c r="H24" s="25">
        <v>4.3499999999999996</v>
      </c>
      <c r="I24" s="25">
        <f t="shared" si="2"/>
        <v>8.6999999999999993</v>
      </c>
      <c r="J24" s="25"/>
      <c r="K24" s="25">
        <f t="shared" si="3"/>
        <v>8.6999999999999993</v>
      </c>
    </row>
    <row r="25" spans="1:11" x14ac:dyDescent="0.3">
      <c r="A25" t="str">
        <f t="shared" si="0"/>
        <v>T-Shirt White (Unisex)</v>
      </c>
      <c r="B25" t="s">
        <v>41</v>
      </c>
      <c r="C25" t="s">
        <v>34</v>
      </c>
      <c r="D25">
        <v>300</v>
      </c>
      <c r="E25">
        <v>450</v>
      </c>
      <c r="F25" s="26">
        <f t="shared" si="1"/>
        <v>0.66666666666666663</v>
      </c>
      <c r="H25" s="25">
        <v>4.3499999999999996</v>
      </c>
      <c r="I25" s="25">
        <f t="shared" si="2"/>
        <v>8.6999999999999993</v>
      </c>
      <c r="J25" s="25"/>
      <c r="K25" s="25">
        <f t="shared" si="3"/>
        <v>8.6999999999999993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workbookViewId="0">
      <selection activeCell="B4" sqref="B4"/>
    </sheetView>
  </sheetViews>
  <sheetFormatPr defaultRowHeight="14.4" x14ac:dyDescent="0.3"/>
  <cols>
    <col min="1" max="1" width="20.77734375" bestFit="1" customWidth="1"/>
    <col min="2" max="2" width="15.109375" customWidth="1"/>
    <col min="3" max="3" width="12.109375" customWidth="1"/>
    <col min="4" max="4" width="18.109375" customWidth="1"/>
    <col min="5" max="5" width="12.33203125" customWidth="1"/>
  </cols>
  <sheetData>
    <row r="1" spans="1:5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3">
      <c r="A2" t="s">
        <v>47</v>
      </c>
      <c r="B2" s="27">
        <v>1</v>
      </c>
      <c r="C2" t="s">
        <v>57</v>
      </c>
      <c r="D2" t="s">
        <v>32</v>
      </c>
      <c r="E2" s="25">
        <v>105</v>
      </c>
    </row>
    <row r="3" spans="1:5" x14ac:dyDescent="0.3">
      <c r="A3" t="s">
        <v>48</v>
      </c>
      <c r="B3">
        <v>2</v>
      </c>
      <c r="C3" t="s">
        <v>57</v>
      </c>
      <c r="D3" t="s">
        <v>33</v>
      </c>
      <c r="E3" s="25">
        <v>139</v>
      </c>
    </row>
    <row r="4" spans="1:5" x14ac:dyDescent="0.3">
      <c r="A4" t="s">
        <v>49</v>
      </c>
      <c r="B4" s="27">
        <v>3</v>
      </c>
      <c r="C4" t="s">
        <v>57</v>
      </c>
      <c r="D4" t="s">
        <v>41</v>
      </c>
      <c r="E4" s="25">
        <v>171</v>
      </c>
    </row>
    <row r="5" spans="1:5" x14ac:dyDescent="0.3">
      <c r="A5" t="s">
        <v>50</v>
      </c>
      <c r="B5">
        <v>4</v>
      </c>
      <c r="C5" t="s">
        <v>57</v>
      </c>
      <c r="D5" t="s">
        <v>32</v>
      </c>
      <c r="E5" s="25">
        <v>390</v>
      </c>
    </row>
    <row r="6" spans="1:5" x14ac:dyDescent="0.3">
      <c r="A6" t="s">
        <v>51</v>
      </c>
      <c r="B6" s="27">
        <v>5</v>
      </c>
      <c r="C6" t="s">
        <v>57</v>
      </c>
      <c r="D6" t="s">
        <v>33</v>
      </c>
      <c r="E6" s="25">
        <v>456</v>
      </c>
    </row>
    <row r="7" spans="1:5" x14ac:dyDescent="0.3">
      <c r="A7" t="s">
        <v>52</v>
      </c>
      <c r="B7">
        <v>6</v>
      </c>
      <c r="C7" t="s">
        <v>57</v>
      </c>
      <c r="D7" t="s">
        <v>41</v>
      </c>
      <c r="E7" s="25">
        <v>764</v>
      </c>
    </row>
    <row r="8" spans="1:5" x14ac:dyDescent="0.3">
      <c r="A8" t="s">
        <v>52</v>
      </c>
      <c r="B8" s="27">
        <v>7</v>
      </c>
      <c r="C8" t="s">
        <v>57</v>
      </c>
      <c r="D8" t="s">
        <v>32</v>
      </c>
      <c r="E8" s="25">
        <v>347</v>
      </c>
    </row>
    <row r="9" spans="1:5" x14ac:dyDescent="0.3">
      <c r="A9" t="s">
        <v>53</v>
      </c>
      <c r="B9">
        <v>8</v>
      </c>
      <c r="C9" t="s">
        <v>57</v>
      </c>
      <c r="D9" t="s">
        <v>33</v>
      </c>
      <c r="E9" s="25">
        <v>875</v>
      </c>
    </row>
    <row r="10" spans="1:5" x14ac:dyDescent="0.3">
      <c r="A10" t="s">
        <v>49</v>
      </c>
      <c r="B10" s="27">
        <v>9</v>
      </c>
      <c r="C10" t="s">
        <v>57</v>
      </c>
      <c r="D10" t="s">
        <v>33</v>
      </c>
      <c r="E10" s="25">
        <v>125</v>
      </c>
    </row>
    <row r="11" spans="1:5" x14ac:dyDescent="0.3">
      <c r="A11" t="s">
        <v>54</v>
      </c>
      <c r="B11">
        <v>10</v>
      </c>
      <c r="C11" t="s">
        <v>57</v>
      </c>
      <c r="D11" t="s">
        <v>32</v>
      </c>
      <c r="E11" s="25">
        <v>346</v>
      </c>
    </row>
    <row r="12" spans="1:5" x14ac:dyDescent="0.3">
      <c r="A12" t="s">
        <v>53</v>
      </c>
      <c r="B12" s="27">
        <v>11</v>
      </c>
      <c r="C12" t="s">
        <v>57</v>
      </c>
      <c r="D12" t="s">
        <v>33</v>
      </c>
      <c r="E12" s="25">
        <v>789</v>
      </c>
    </row>
    <row r="13" spans="1:5" x14ac:dyDescent="0.3">
      <c r="A13" t="s">
        <v>51</v>
      </c>
      <c r="B13">
        <v>12</v>
      </c>
      <c r="C13" t="s">
        <v>58</v>
      </c>
      <c r="D13" t="s">
        <v>41</v>
      </c>
      <c r="E13" s="25">
        <v>546</v>
      </c>
    </row>
    <row r="14" spans="1:5" x14ac:dyDescent="0.3">
      <c r="A14" t="s">
        <v>50</v>
      </c>
      <c r="B14" s="27">
        <v>13</v>
      </c>
      <c r="C14" t="s">
        <v>58</v>
      </c>
      <c r="D14" t="s">
        <v>32</v>
      </c>
      <c r="E14" s="25">
        <v>345</v>
      </c>
    </row>
    <row r="15" spans="1:5" x14ac:dyDescent="0.3">
      <c r="A15" t="s">
        <v>47</v>
      </c>
      <c r="B15">
        <v>14</v>
      </c>
      <c r="C15" t="s">
        <v>58</v>
      </c>
      <c r="D15" t="s">
        <v>33</v>
      </c>
      <c r="E15" s="25">
        <v>234</v>
      </c>
    </row>
    <row r="16" spans="1:5" x14ac:dyDescent="0.3">
      <c r="A16" t="s">
        <v>52</v>
      </c>
      <c r="B16" s="27">
        <v>15</v>
      </c>
      <c r="C16" t="s">
        <v>58</v>
      </c>
      <c r="D16" t="s">
        <v>41</v>
      </c>
      <c r="E16" s="25">
        <v>312</v>
      </c>
    </row>
    <row r="17" spans="1:5" x14ac:dyDescent="0.3">
      <c r="A17" t="s">
        <v>48</v>
      </c>
      <c r="B17">
        <v>16</v>
      </c>
      <c r="C17" t="s">
        <v>58</v>
      </c>
      <c r="D17" t="s">
        <v>32</v>
      </c>
      <c r="E17" s="25">
        <v>356</v>
      </c>
    </row>
    <row r="18" spans="1:5" x14ac:dyDescent="0.3">
      <c r="A18" t="s">
        <v>55</v>
      </c>
      <c r="B18" s="27">
        <v>17</v>
      </c>
      <c r="C18" t="s">
        <v>58</v>
      </c>
      <c r="D18" t="s">
        <v>33</v>
      </c>
      <c r="E18" s="25">
        <v>457</v>
      </c>
    </row>
    <row r="19" spans="1:5" x14ac:dyDescent="0.3">
      <c r="A19" t="s">
        <v>56</v>
      </c>
      <c r="B19">
        <v>18</v>
      </c>
      <c r="C19" t="s">
        <v>58</v>
      </c>
      <c r="D19" t="s">
        <v>32</v>
      </c>
      <c r="E19" s="25">
        <v>542</v>
      </c>
    </row>
    <row r="20" spans="1:5" x14ac:dyDescent="0.3">
      <c r="A20" t="s">
        <v>50</v>
      </c>
      <c r="B20" s="27">
        <v>19</v>
      </c>
      <c r="C20" t="s">
        <v>58</v>
      </c>
      <c r="D20" t="s">
        <v>32</v>
      </c>
      <c r="E20" s="25">
        <v>245</v>
      </c>
    </row>
    <row r="21" spans="1:5" x14ac:dyDescent="0.3">
      <c r="A21" t="s">
        <v>48</v>
      </c>
      <c r="B21">
        <v>20</v>
      </c>
      <c r="C21" t="s">
        <v>58</v>
      </c>
      <c r="D21" t="s">
        <v>33</v>
      </c>
      <c r="E21" s="25">
        <v>135</v>
      </c>
    </row>
    <row r="22" spans="1:5" x14ac:dyDescent="0.3">
      <c r="A22" t="s">
        <v>51</v>
      </c>
      <c r="B22" s="27">
        <v>21</v>
      </c>
      <c r="C22" t="s">
        <v>58</v>
      </c>
      <c r="D22" t="s">
        <v>41</v>
      </c>
      <c r="E22" s="25">
        <v>983</v>
      </c>
    </row>
    <row r="23" spans="1:5" x14ac:dyDescent="0.3">
      <c r="A23" t="s">
        <v>47</v>
      </c>
      <c r="B23">
        <v>22</v>
      </c>
      <c r="C23" t="s">
        <v>58</v>
      </c>
      <c r="D23" t="s">
        <v>32</v>
      </c>
      <c r="E23" s="25">
        <v>134</v>
      </c>
    </row>
    <row r="24" spans="1:5" x14ac:dyDescent="0.3">
      <c r="A24" t="s">
        <v>54</v>
      </c>
      <c r="B24" s="27">
        <v>23</v>
      </c>
      <c r="C24" t="s">
        <v>58</v>
      </c>
      <c r="D24" t="s">
        <v>33</v>
      </c>
      <c r="E24" s="25">
        <v>245</v>
      </c>
    </row>
    <row r="25" spans="1:5" x14ac:dyDescent="0.3">
      <c r="A25" t="s">
        <v>56</v>
      </c>
      <c r="B25">
        <v>24</v>
      </c>
      <c r="C25" t="s">
        <v>58</v>
      </c>
      <c r="D25" t="s">
        <v>41</v>
      </c>
      <c r="E25" s="25">
        <v>134</v>
      </c>
    </row>
    <row r="26" spans="1:5" x14ac:dyDescent="0.3">
      <c r="A26" t="s">
        <v>47</v>
      </c>
      <c r="B26" s="27">
        <v>25</v>
      </c>
      <c r="C26" t="s">
        <v>58</v>
      </c>
      <c r="D26" t="s">
        <v>32</v>
      </c>
      <c r="E26" s="25">
        <v>578</v>
      </c>
    </row>
    <row r="27" spans="1:5" x14ac:dyDescent="0.3">
      <c r="A27" t="s">
        <v>53</v>
      </c>
      <c r="B27">
        <v>26</v>
      </c>
      <c r="C27" t="s">
        <v>58</v>
      </c>
      <c r="D27" t="s">
        <v>33</v>
      </c>
      <c r="E27" s="25">
        <v>245</v>
      </c>
    </row>
    <row r="28" spans="1:5" x14ac:dyDescent="0.3">
      <c r="A28" t="s">
        <v>48</v>
      </c>
      <c r="B28" s="27">
        <v>27</v>
      </c>
      <c r="C28" t="s">
        <v>59</v>
      </c>
      <c r="D28" t="s">
        <v>41</v>
      </c>
      <c r="E28" s="25">
        <v>532</v>
      </c>
    </row>
    <row r="29" spans="1:5" x14ac:dyDescent="0.3">
      <c r="A29" t="s">
        <v>55</v>
      </c>
      <c r="B29">
        <v>28</v>
      </c>
      <c r="C29" t="s">
        <v>59</v>
      </c>
      <c r="D29" t="s">
        <v>32</v>
      </c>
      <c r="E29" s="25">
        <v>135</v>
      </c>
    </row>
    <row r="30" spans="1:5" x14ac:dyDescent="0.3">
      <c r="A30" t="s">
        <v>49</v>
      </c>
      <c r="B30" s="27">
        <v>29</v>
      </c>
      <c r="C30" t="s">
        <v>59</v>
      </c>
      <c r="D30" t="s">
        <v>33</v>
      </c>
      <c r="E30" s="25">
        <v>946</v>
      </c>
    </row>
    <row r="31" spans="1:5" x14ac:dyDescent="0.3">
      <c r="A31" t="s">
        <v>51</v>
      </c>
      <c r="B31">
        <v>30</v>
      </c>
      <c r="C31" t="s">
        <v>59</v>
      </c>
      <c r="D31" t="s">
        <v>41</v>
      </c>
      <c r="E31" s="25">
        <v>134</v>
      </c>
    </row>
    <row r="32" spans="1:5" x14ac:dyDescent="0.3">
      <c r="A32" t="s">
        <v>53</v>
      </c>
      <c r="B32" s="27">
        <v>31</v>
      </c>
      <c r="C32" t="s">
        <v>59</v>
      </c>
      <c r="D32" t="s">
        <v>32</v>
      </c>
      <c r="E32" s="25">
        <v>357</v>
      </c>
    </row>
    <row r="33" spans="1:5" x14ac:dyDescent="0.3">
      <c r="A33" t="s">
        <v>47</v>
      </c>
      <c r="B33">
        <v>32</v>
      </c>
      <c r="C33" t="s">
        <v>59</v>
      </c>
      <c r="D33" t="s">
        <v>33</v>
      </c>
      <c r="E33" s="25">
        <v>457</v>
      </c>
    </row>
    <row r="34" spans="1:5" x14ac:dyDescent="0.3">
      <c r="A34" t="s">
        <v>55</v>
      </c>
      <c r="B34" s="27">
        <v>33</v>
      </c>
      <c r="C34" t="s">
        <v>59</v>
      </c>
      <c r="D34" t="s">
        <v>41</v>
      </c>
      <c r="E34" s="25">
        <v>864</v>
      </c>
    </row>
    <row r="35" spans="1:5" x14ac:dyDescent="0.3">
      <c r="A35" t="s">
        <v>48</v>
      </c>
      <c r="B35">
        <v>34</v>
      </c>
      <c r="C35" t="s">
        <v>59</v>
      </c>
      <c r="D35" t="s">
        <v>32</v>
      </c>
      <c r="E35" s="25">
        <v>245</v>
      </c>
    </row>
    <row r="36" spans="1:5" x14ac:dyDescent="0.3">
      <c r="A36" t="s">
        <v>50</v>
      </c>
      <c r="B36" s="27">
        <v>35</v>
      </c>
      <c r="C36" t="s">
        <v>59</v>
      </c>
      <c r="D36" t="s">
        <v>33</v>
      </c>
      <c r="E36" s="25">
        <v>234</v>
      </c>
    </row>
    <row r="37" spans="1:5" x14ac:dyDescent="0.3">
      <c r="A37" t="s">
        <v>56</v>
      </c>
      <c r="B37">
        <v>36</v>
      </c>
      <c r="C37" t="s">
        <v>59</v>
      </c>
      <c r="D37" t="s">
        <v>41</v>
      </c>
      <c r="E37" s="25">
        <v>145</v>
      </c>
    </row>
    <row r="38" spans="1:5" x14ac:dyDescent="0.3">
      <c r="B38" s="2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6" sqref="A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Quote</vt:lpstr>
      <vt:lpstr>Prices</vt:lpstr>
      <vt:lpstr>Inventory</vt:lpstr>
      <vt:lpstr>Orders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PC-LAM</dc:creator>
  <cp:lastModifiedBy>360 MOS</cp:lastModifiedBy>
  <dcterms:created xsi:type="dcterms:W3CDTF">2022-12-18T09:03:44Z</dcterms:created>
  <dcterms:modified xsi:type="dcterms:W3CDTF">2025-11-06T16:41:14Z</dcterms:modified>
</cp:coreProperties>
</file>