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MOS360\"/>
    </mc:Choice>
  </mc:AlternateContent>
  <xr:revisionPtr revIDLastSave="0" documentId="8_{A7D4B551-1C7E-42B4-BD78-60667C9BBF89}" xr6:coauthVersionLast="47" xr6:coauthVersionMax="47" xr10:uidLastSave="{00000000-0000-0000-0000-000000000000}"/>
  <bookViews>
    <workbookView xWindow="-120" yWindow="-30" windowWidth="28920" windowHeight="12960" xr2:uid="{00000000-000D-0000-FFFF-FFFF00000000}"/>
  </bookViews>
  <sheets>
    <sheet name="Tasks" sheetId="1" r:id="rId1"/>
    <sheet name="Projects" sheetId="2" r:id="rId2"/>
    <sheet name="Exams" sheetId="3" r:id="rId3"/>
    <sheet name="Score Distribution" sheetId="7" r:id="rId4"/>
    <sheet name="Grade Criteria" sheetId="5" r:id="rId5"/>
  </sheets>
  <definedNames>
    <definedName name="Total1">'Grade Criteria'!$B$16</definedName>
    <definedName name="Total2">'Grade Criteria'!$B$22</definedName>
    <definedName name="Total3">'Grade Criteria'!$B$27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2" l="1"/>
  <c r="E38" i="2"/>
  <c r="C38" i="2"/>
  <c r="D37" i="2"/>
  <c r="E37" i="2"/>
  <c r="C37" i="2"/>
  <c r="D36" i="2"/>
  <c r="E36" i="2"/>
  <c r="C36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F5" i="5" a="1"/>
  <c r="F5" i="5" s="1"/>
  <c r="F6" i="5" a="1"/>
  <c r="F6" i="5"/>
  <c r="F7" i="5" a="1"/>
  <c r="F7" i="5"/>
  <c r="F8" i="5" a="1"/>
  <c r="F8" i="5" s="1"/>
  <c r="F9" i="5" a="1"/>
  <c r="F9" i="5" s="1"/>
  <c r="F10" i="5" a="1"/>
  <c r="F10" i="5" s="1"/>
  <c r="F11" i="5" a="1"/>
  <c r="F11" i="5" s="1"/>
  <c r="F12" i="5" a="1"/>
  <c r="F12" i="5" s="1"/>
  <c r="F13" i="5" a="1"/>
  <c r="F13" i="5" s="1"/>
  <c r="F14" i="5" a="1"/>
  <c r="F14" i="5" s="1"/>
  <c r="F15" i="5" a="1"/>
  <c r="F15" i="5"/>
  <c r="F16" i="5" a="1"/>
  <c r="F16" i="5" s="1"/>
  <c r="B27" i="5"/>
  <c r="B22" i="5"/>
  <c r="B16" i="5"/>
  <c r="D35" i="3"/>
  <c r="C35" i="3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4" i="3" a="1"/>
  <c r="H4" i="3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G4" i="2"/>
  <c r="G5" i="2"/>
  <c r="G6" i="2"/>
  <c r="G7" i="2"/>
  <c r="G8" i="2"/>
  <c r="G9" i="2"/>
  <c r="G10" i="2"/>
  <c r="G11" i="2"/>
  <c r="G12" i="2"/>
  <c r="G13" i="2"/>
  <c r="M5" i="1"/>
  <c r="M6" i="1"/>
  <c r="M7" i="1"/>
  <c r="M8" i="1"/>
  <c r="M9" i="1"/>
  <c r="M10" i="1"/>
  <c r="M11" i="1"/>
  <c r="M12" i="1"/>
  <c r="M13" i="1"/>
  <c r="M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<sst xmlns="http://schemas.openxmlformats.org/spreadsheetml/2006/main" count="138" uniqueCount="79">
  <si>
    <t>Bellows College</t>
  </si>
  <si>
    <t>CS101 Microsoft Office Applications</t>
  </si>
  <si>
    <t>ID</t>
  </si>
  <si>
    <t xml:space="preserve">Name </t>
  </si>
  <si>
    <t>Task 1</t>
  </si>
  <si>
    <t>Task 2</t>
  </si>
  <si>
    <t>Task 3</t>
  </si>
  <si>
    <t>Task 4</t>
  </si>
  <si>
    <t>Task 5</t>
  </si>
  <si>
    <t>Task 6</t>
  </si>
  <si>
    <t xml:space="preserve">Task 7 </t>
  </si>
  <si>
    <t>Task 8</t>
  </si>
  <si>
    <t xml:space="preserve">Task 9 </t>
  </si>
  <si>
    <t>Task 10</t>
  </si>
  <si>
    <t>Task Total</t>
  </si>
  <si>
    <t>Alexander, Sean P.</t>
  </si>
  <si>
    <t>Argrow, NeKeta</t>
  </si>
  <si>
    <t>Barnett, Dave</t>
  </si>
  <si>
    <t>Bashary, Shay</t>
  </si>
  <si>
    <t>Brown, Jo</t>
  </si>
  <si>
    <t>Caro, Fermando</t>
  </si>
  <si>
    <t>Casparij, Gitte</t>
  </si>
  <si>
    <t>Cheng, Yao-Qiang</t>
  </si>
  <si>
    <t>Dansegiio, Mike</t>
  </si>
  <si>
    <t>Duffy, Torri Lee</t>
  </si>
  <si>
    <t>Project 1</t>
  </si>
  <si>
    <t>Project 2</t>
  </si>
  <si>
    <t>Project 3</t>
  </si>
  <si>
    <t>Project 4</t>
  </si>
  <si>
    <t>Project Total</t>
  </si>
  <si>
    <t>Exam 1</t>
  </si>
  <si>
    <t>Exam 2</t>
  </si>
  <si>
    <t>Exam 3</t>
  </si>
  <si>
    <t xml:space="preserve">Exam Total </t>
  </si>
  <si>
    <t>Course Total</t>
  </si>
  <si>
    <t>Grade</t>
  </si>
  <si>
    <t>Ersan, Ebru</t>
  </si>
  <si>
    <t>Ferreira, Sofia</t>
  </si>
  <si>
    <t>Garcia, Cesar</t>
  </si>
  <si>
    <t>Gregersen, Kirk</t>
  </si>
  <si>
    <t>Gunnarsson, Eva</t>
  </si>
  <si>
    <t>Haddock, Rich</t>
  </si>
  <si>
    <t>Herp, Jesper</t>
  </si>
  <si>
    <t>Hurtado, Begona</t>
  </si>
  <si>
    <t>Jacob, Sanjay</t>
  </si>
  <si>
    <t>Jones, Brannon</t>
  </si>
  <si>
    <t>Kurniawan, Peter</t>
  </si>
  <si>
    <t>Leal, Karina</t>
  </si>
  <si>
    <t>Smith, Samantha</t>
  </si>
  <si>
    <t>Riis, Bjarne</t>
  </si>
  <si>
    <t>Li, Yan</t>
  </si>
  <si>
    <t>Li, Yuhong</t>
  </si>
  <si>
    <t>Mitchell, Linda</t>
  </si>
  <si>
    <t>Oliveira, Sasana</t>
  </si>
  <si>
    <t>Owen, Laura</t>
  </si>
  <si>
    <t>Purcell, Sean</t>
  </si>
  <si>
    <t>Missing Exam Results</t>
  </si>
  <si>
    <t>Maximum Points</t>
  </si>
  <si>
    <t>Tasks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</si>
  <si>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</si>
  <si>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</si>
  <si>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</si>
  <si>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</si>
  <si>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</si>
  <si>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</si>
  <si>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</si>
  <si>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</si>
  <si>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</si>
  <si>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</si>
  <si>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Assignment Total</t>
  </si>
  <si>
    <t>Projects</t>
  </si>
  <si>
    <t>Exams</t>
  </si>
  <si>
    <t>Exams Total</t>
  </si>
  <si>
    <t>Grand Total</t>
  </si>
  <si>
    <t>Total Points</t>
  </si>
  <si>
    <t>Project Statistics</t>
  </si>
  <si>
    <t>Average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</si>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</sst>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6"/>
      <color theme="1"/>
      <name val="Arial"/>
      <family val="2"/>
      <charset val="163"/>
      <scheme val="minor"/>
    </font>
    <font>
      <b/>
      <sz val="11"/>
      <color theme="5" tint="-0.249977111117893"/>
      <name val="Arial"/>
      <family val="2"/>
      <charset val="163"/>
      <scheme val="minor"/>
    </font>
    <font>
      <sz val="8"/>
      <name val="Arial"/>
      <family val="2"/>
      <scheme val="minor"/>
    </font>
    <font>
      <b/>
      <sz val="14"/>
      <color rgb="FFC00000"/>
      <name val="Arial"/>
      <family val="2"/>
      <charset val="163"/>
      <scheme val="minor"/>
    </font>
    <font>
      <sz val="11"/>
      <color rgb="FFFFC000"/>
      <name val="Arial"/>
      <family val="2"/>
      <scheme val="minor"/>
    </font>
    <font>
      <b/>
      <sz val="12"/>
      <color theme="0"/>
      <name val="Arial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 tint="0.39997558519241921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1" fillId="2" borderId="1" xfId="0" applyFont="1" applyFill="1" applyBorder="1"/>
    <xf numFmtId="0" fontId="1" fillId="2" borderId="3" xfId="0" applyFont="1" applyFill="1" applyBorder="1"/>
    <xf numFmtId="0" fontId="0" fillId="4" borderId="3" xfId="0" applyFill="1" applyBorder="1"/>
    <xf numFmtId="0" fontId="0" fillId="0" borderId="3" xfId="0" applyBorder="1"/>
    <xf numFmtId="0" fontId="0" fillId="4" borderId="0" xfId="0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4" xfId="0" applyBorder="1" applyAlignment="1">
      <alignment horizontal="center"/>
    </xf>
    <xf numFmtId="0" fontId="7" fillId="0" borderId="6" xfId="0" applyFont="1" applyBorder="1"/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3" fillId="0" borderId="5" xfId="0" applyFont="1" applyBorder="1"/>
    <xf numFmtId="0" fontId="8" fillId="0" borderId="5" xfId="0" applyFont="1" applyBorder="1"/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vertical="center"/>
    </xf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Exams!$B$4:$B$33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Fermando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Dansegiio, Mike</c:v>
                </c:pt>
                <c:pt idx="9">
                  <c:v>Duffy, Torri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Begona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Sasana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Exams!$G$4:$G$33</c:f>
              <c:numCache>
                <c:formatCode>General</c:formatCode>
                <c:ptCount val="30"/>
                <c:pt idx="0">
                  <c:v>867</c:v>
                </c:pt>
                <c:pt idx="1">
                  <c:v>900</c:v>
                </c:pt>
                <c:pt idx="2">
                  <c:v>856</c:v>
                </c:pt>
                <c:pt idx="3">
                  <c:v>916</c:v>
                </c:pt>
                <c:pt idx="4">
                  <c:v>821</c:v>
                </c:pt>
                <c:pt idx="5">
                  <c:v>901</c:v>
                </c:pt>
                <c:pt idx="6">
                  <c:v>787</c:v>
                </c:pt>
                <c:pt idx="7">
                  <c:v>789</c:v>
                </c:pt>
                <c:pt idx="8">
                  <c:v>854</c:v>
                </c:pt>
                <c:pt idx="9">
                  <c:v>896</c:v>
                </c:pt>
                <c:pt idx="10">
                  <c:v>936</c:v>
                </c:pt>
                <c:pt idx="11">
                  <c:v>901</c:v>
                </c:pt>
                <c:pt idx="12">
                  <c:v>811</c:v>
                </c:pt>
                <c:pt idx="13">
                  <c:v>903</c:v>
                </c:pt>
                <c:pt idx="14">
                  <c:v>777</c:v>
                </c:pt>
                <c:pt idx="15">
                  <c:v>878</c:v>
                </c:pt>
                <c:pt idx="16">
                  <c:v>864</c:v>
                </c:pt>
                <c:pt idx="17">
                  <c:v>779</c:v>
                </c:pt>
                <c:pt idx="18">
                  <c:v>925</c:v>
                </c:pt>
                <c:pt idx="19">
                  <c:v>823</c:v>
                </c:pt>
                <c:pt idx="20">
                  <c:v>893</c:v>
                </c:pt>
                <c:pt idx="21">
                  <c:v>918</c:v>
                </c:pt>
                <c:pt idx="22">
                  <c:v>739</c:v>
                </c:pt>
                <c:pt idx="23">
                  <c:v>838</c:v>
                </c:pt>
                <c:pt idx="24">
                  <c:v>814</c:v>
                </c:pt>
                <c:pt idx="25">
                  <c:v>793</c:v>
                </c:pt>
                <c:pt idx="26">
                  <c:v>787</c:v>
                </c:pt>
                <c:pt idx="27">
                  <c:v>843</c:v>
                </c:pt>
                <c:pt idx="28">
                  <c:v>875</c:v>
                </c:pt>
                <c:pt idx="29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ED-8F18-25C8AA1F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01688"/>
        <c:axId val="158200512"/>
      </c:barChart>
      <c:catAx>
        <c:axId val="15820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8200512"/>
        <c:crosses val="autoZero"/>
        <c:auto val="1"/>
        <c:lblAlgn val="ctr"/>
        <c:lblOffset val="100"/>
        <c:noMultiLvlLbl val="0"/>
      </c:catAx>
      <c:valAx>
        <c:axId val="15820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820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142875</xdr:rowOff>
    </xdr:from>
    <xdr:to>
      <xdr:col>9</xdr:col>
      <xdr:colOff>133350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13" totalsRowShown="0" headerRowDxfId="21">
  <autoFilter ref="A3:M13" xr:uid="{00000000-0009-0000-0100-000001000000}"/>
  <tableColumns count="13">
    <tableColumn id="1" xr3:uid="{00000000-0010-0000-0000-000001000000}" name="ID"/>
    <tableColumn id="2" xr3:uid="{00000000-0010-0000-0000-000002000000}" name="Name "/>
    <tableColumn id="3" xr3:uid="{00000000-0010-0000-0000-000003000000}" name="Task 1"/>
    <tableColumn id="4" xr3:uid="{00000000-0010-0000-0000-000004000000}" name="Task 2"/>
    <tableColumn id="5" xr3:uid="{00000000-0010-0000-0000-000005000000}" name="Task 3"/>
    <tableColumn id="6" xr3:uid="{00000000-0010-0000-0000-000006000000}" name="Task 4"/>
    <tableColumn id="7" xr3:uid="{00000000-0010-0000-0000-000007000000}" name="Task 5"/>
    <tableColumn id="8" xr3:uid="{00000000-0010-0000-0000-000008000000}" name="Task 6"/>
    <tableColumn id="9" xr3:uid="{00000000-0010-0000-0000-000009000000}" name="Task 7 "/>
    <tableColumn id="10" xr3:uid="{00000000-0010-0000-0000-00000A000000}" name="Task 8"/>
    <tableColumn id="11" xr3:uid="{00000000-0010-0000-0000-00000B000000}" name="Task 9 "/>
    <tableColumn id="12" xr3:uid="{00000000-0010-0000-0000-00000C000000}" name="Task 10"/>
    <tableColumn id="13" xr3:uid="{00000000-0010-0000-0000-00000D000000}" name="Task Total">
      <calculatedColumnFormula>SUM(C4:L4)</calculatedColumnFormula>
    </tableColumn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33" totalsRowShown="0" headerRowDxfId="20" tableBorderDxfId="19">
  <autoFilter ref="A3:G33" xr:uid="{00000000-0009-0000-0100-000002000000}"/>
  <tableColumns count="7">
    <tableColumn id="1" xr3:uid="{00000000-0010-0000-0100-000001000000}" name="ID" dataDxfId="18"/>
    <tableColumn id="2" xr3:uid="{00000000-0010-0000-0100-000002000000}" name="Name " dataDxfId="17"/>
    <tableColumn id="3" xr3:uid="{00000000-0010-0000-0100-000003000000}" name="Project 1" dataDxfId="16"/>
    <tableColumn id="4" xr3:uid="{00000000-0010-0000-0100-000004000000}" name="Project 2" dataDxfId="15"/>
    <tableColumn id="5" xr3:uid="{00000000-0010-0000-0100-000005000000}" name="Project 3" dataDxfId="14"/>
    <tableColumn id="6" xr3:uid="{00000000-0010-0000-0100-000006000000}" name="Project 4" dataDxfId="13"/>
    <tableColumn id="7" xr3:uid="{00000000-0010-0000-0100-000007000000}" name="Project Total" dataDxfId="12">
      <calculatedColumnFormula>SUM(Table2[[#This Row],[Project 1]:[Project 4]])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H33" totalsRowShown="0" tableBorderDxfId="11">
  <autoFilter ref="A3:H33" xr:uid="{00000000-0009-0000-0100-000003000000}"/>
  <tableColumns count="8">
    <tableColumn id="1" xr3:uid="{00000000-0010-0000-0200-000001000000}" name="ID" dataDxfId="10"/>
    <tableColumn id="2" xr3:uid="{00000000-0010-0000-0200-000002000000}" name="Name "/>
    <tableColumn id="3" xr3:uid="{00000000-0010-0000-0200-000003000000}" name="Exam 1" dataDxfId="9"/>
    <tableColumn id="4" xr3:uid="{00000000-0010-0000-0200-000004000000}" name="Exam 2" dataDxfId="8"/>
    <tableColumn id="5" xr3:uid="{00000000-0010-0000-0200-000005000000}" name="Exam 3" dataDxfId="7"/>
    <tableColumn id="6" xr3:uid="{00000000-0010-0000-0200-000006000000}" name="Exam Total " dataDxfId="6">
      <calculatedColumnFormula>SUM(Table3[[#This Row],[Exam 1]:[Exam 3]])</calculatedColumnFormula>
    </tableColumn>
    <tableColumn id="7" xr3:uid="{00000000-0010-0000-0200-000007000000}" name="Course Total" dataDxfId="5"/>
    <tableColumn id="8" xr3:uid="{00000000-0010-0000-0200-000008000000}" name="Grade" dataDxfId="4">
      <calculatedColumnFormula array="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E4:F16" totalsRowShown="0" headerRowDxfId="3" dataDxfId="2">
  <autoFilter ref="E4:F16" xr:uid="{00000000-0009-0000-0100-000005000000}"/>
  <tableColumns count="2">
    <tableColumn id="1" xr3:uid="{00000000-0010-0000-0300-000001000000}" name="Total Points" dataDxfId="1"/>
    <tableColumn id="2" xr3:uid="{00000000-0010-0000-0300-000002000000}" name="Grade" dataDxfId="0">
      <calculatedColumnFormula array="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3"/>
  <sheetViews>
    <sheetView tabSelected="1" workbookViewId="0">
      <selection activeCell="B7" sqref="B7"/>
    </sheetView>
  </sheetViews>
  <sheetFormatPr defaultRowHeight="14.25" x14ac:dyDescent="0.2"/>
  <cols>
    <col min="1" max="1" width="8.875" customWidth="1"/>
    <col min="2" max="2" width="16.25" bestFit="1" customWidth="1"/>
    <col min="3" max="7" width="8.25" customWidth="1"/>
    <col min="12" max="12" width="9.25" customWidth="1"/>
    <col min="13" max="13" width="11.5" customWidth="1"/>
  </cols>
  <sheetData>
    <row r="1" spans="1:13" s="28" customFormat="1" ht="20.25" x14ac:dyDescent="0.3">
      <c r="A1" s="28" t="s">
        <v>0</v>
      </c>
    </row>
    <row r="2" spans="1:13" s="29" customFormat="1" ht="15" x14ac:dyDescent="0.25">
      <c r="A2" s="29" t="s">
        <v>1</v>
      </c>
    </row>
    <row r="3" spans="1:13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x14ac:dyDescent="0.2">
      <c r="A4">
        <v>1169815</v>
      </c>
      <c r="B4" t="s">
        <v>15</v>
      </c>
      <c r="C4">
        <v>15</v>
      </c>
      <c r="D4">
        <v>20</v>
      </c>
      <c r="E4">
        <v>25</v>
      </c>
      <c r="F4">
        <v>25</v>
      </c>
      <c r="G4">
        <v>21</v>
      </c>
      <c r="H4">
        <v>15</v>
      </c>
      <c r="I4">
        <v>0</v>
      </c>
      <c r="J4">
        <v>25</v>
      </c>
      <c r="K4">
        <v>25</v>
      </c>
      <c r="L4">
        <v>21</v>
      </c>
      <c r="M4">
        <f>SUM(C4:L4)</f>
        <v>192</v>
      </c>
    </row>
    <row r="5" spans="1:13" x14ac:dyDescent="0.2">
      <c r="A5">
        <v>2002584</v>
      </c>
      <c r="B5" t="s">
        <v>16</v>
      </c>
      <c r="C5">
        <v>16</v>
      </c>
      <c r="D5">
        <v>21</v>
      </c>
      <c r="E5">
        <v>24</v>
      </c>
      <c r="F5">
        <v>22</v>
      </c>
      <c r="G5">
        <v>25</v>
      </c>
      <c r="H5">
        <v>23</v>
      </c>
      <c r="I5">
        <v>25</v>
      </c>
      <c r="J5">
        <v>23</v>
      </c>
      <c r="K5">
        <v>20</v>
      </c>
      <c r="L5">
        <v>20</v>
      </c>
      <c r="M5">
        <f t="shared" ref="M5:M13" si="0">SUM(C5:L5)</f>
        <v>219</v>
      </c>
    </row>
    <row r="6" spans="1:13" x14ac:dyDescent="0.2">
      <c r="A6">
        <v>3009854</v>
      </c>
      <c r="B6" t="s">
        <v>17</v>
      </c>
      <c r="C6">
        <v>17</v>
      </c>
      <c r="D6">
        <v>22</v>
      </c>
      <c r="E6">
        <v>25</v>
      </c>
      <c r="F6">
        <v>24</v>
      </c>
      <c r="G6">
        <v>25</v>
      </c>
      <c r="H6">
        <v>23</v>
      </c>
      <c r="I6">
        <v>24</v>
      </c>
      <c r="J6">
        <v>23</v>
      </c>
      <c r="K6">
        <v>21</v>
      </c>
      <c r="L6">
        <v>21</v>
      </c>
      <c r="M6">
        <f t="shared" si="0"/>
        <v>225</v>
      </c>
    </row>
    <row r="7" spans="1:13" x14ac:dyDescent="0.2">
      <c r="A7">
        <v>1206458</v>
      </c>
      <c r="B7" t="s">
        <v>18</v>
      </c>
      <c r="C7">
        <v>18</v>
      </c>
      <c r="D7">
        <v>23</v>
      </c>
      <c r="E7">
        <v>24</v>
      </c>
      <c r="F7">
        <v>25</v>
      </c>
      <c r="G7">
        <v>16</v>
      </c>
      <c r="H7">
        <v>21</v>
      </c>
      <c r="I7">
        <v>24</v>
      </c>
      <c r="J7">
        <v>22</v>
      </c>
      <c r="K7">
        <v>25</v>
      </c>
      <c r="L7">
        <v>22</v>
      </c>
      <c r="M7">
        <f t="shared" si="0"/>
        <v>220</v>
      </c>
    </row>
    <row r="8" spans="1:13" x14ac:dyDescent="0.2">
      <c r="A8">
        <v>1182548</v>
      </c>
      <c r="B8" t="s">
        <v>19</v>
      </c>
      <c r="C8">
        <v>19</v>
      </c>
      <c r="D8">
        <v>24</v>
      </c>
      <c r="E8">
        <v>25</v>
      </c>
      <c r="F8">
        <v>20</v>
      </c>
      <c r="G8">
        <v>17</v>
      </c>
      <c r="H8">
        <v>22</v>
      </c>
      <c r="I8">
        <v>25</v>
      </c>
      <c r="J8">
        <v>24</v>
      </c>
      <c r="K8">
        <v>23</v>
      </c>
      <c r="L8">
        <v>23</v>
      </c>
      <c r="M8">
        <f t="shared" si="0"/>
        <v>222</v>
      </c>
    </row>
    <row r="9" spans="1:13" x14ac:dyDescent="0.2">
      <c r="A9">
        <v>1195789</v>
      </c>
      <c r="B9" t="s">
        <v>20</v>
      </c>
      <c r="C9">
        <v>20</v>
      </c>
      <c r="D9">
        <v>25</v>
      </c>
      <c r="E9">
        <v>22</v>
      </c>
      <c r="F9">
        <v>21</v>
      </c>
      <c r="G9">
        <v>18</v>
      </c>
      <c r="H9">
        <v>23</v>
      </c>
      <c r="I9">
        <v>24</v>
      </c>
      <c r="J9">
        <v>25</v>
      </c>
      <c r="K9">
        <v>21</v>
      </c>
      <c r="L9">
        <v>21</v>
      </c>
      <c r="M9">
        <f t="shared" si="0"/>
        <v>220</v>
      </c>
    </row>
    <row r="10" spans="1:13" x14ac:dyDescent="0.2">
      <c r="A10">
        <v>3018848</v>
      </c>
      <c r="B10" t="s">
        <v>21</v>
      </c>
      <c r="C10">
        <v>21</v>
      </c>
      <c r="D10">
        <v>19</v>
      </c>
      <c r="E10">
        <v>23</v>
      </c>
      <c r="F10">
        <v>21</v>
      </c>
      <c r="G10">
        <v>19</v>
      </c>
      <c r="H10">
        <v>24</v>
      </c>
      <c r="I10">
        <v>25</v>
      </c>
      <c r="J10">
        <v>20</v>
      </c>
      <c r="K10">
        <v>18</v>
      </c>
      <c r="L10">
        <v>23</v>
      </c>
      <c r="M10">
        <f t="shared" si="0"/>
        <v>213</v>
      </c>
    </row>
    <row r="11" spans="1:13" x14ac:dyDescent="0.2">
      <c r="A11">
        <v>2007894</v>
      </c>
      <c r="B11" t="s">
        <v>22</v>
      </c>
      <c r="C11">
        <v>22</v>
      </c>
      <c r="D11">
        <v>20</v>
      </c>
      <c r="E11">
        <v>24</v>
      </c>
      <c r="F11">
        <v>22</v>
      </c>
      <c r="G11">
        <v>20</v>
      </c>
      <c r="H11">
        <v>25</v>
      </c>
      <c r="I11">
        <v>22</v>
      </c>
      <c r="J11">
        <v>21</v>
      </c>
      <c r="K11">
        <v>23</v>
      </c>
      <c r="L11">
        <v>14</v>
      </c>
      <c r="M11">
        <f t="shared" si="0"/>
        <v>213</v>
      </c>
    </row>
    <row r="12" spans="1:13" x14ac:dyDescent="0.2">
      <c r="A12">
        <v>2017868</v>
      </c>
      <c r="B12" t="s">
        <v>23</v>
      </c>
      <c r="C12">
        <v>23</v>
      </c>
      <c r="D12">
        <v>21</v>
      </c>
      <c r="E12">
        <v>22</v>
      </c>
      <c r="F12">
        <v>20</v>
      </c>
      <c r="G12">
        <v>21</v>
      </c>
      <c r="H12">
        <v>19</v>
      </c>
      <c r="I12">
        <v>23</v>
      </c>
      <c r="J12">
        <v>21</v>
      </c>
      <c r="K12">
        <v>23</v>
      </c>
      <c r="L12">
        <v>15</v>
      </c>
      <c r="M12">
        <f t="shared" si="0"/>
        <v>208</v>
      </c>
    </row>
    <row r="13" spans="1:13" x14ac:dyDescent="0.2">
      <c r="A13">
        <v>2026654</v>
      </c>
      <c r="B13" t="s">
        <v>24</v>
      </c>
      <c r="C13">
        <v>24</v>
      </c>
      <c r="D13">
        <v>22</v>
      </c>
      <c r="E13">
        <v>23</v>
      </c>
      <c r="F13">
        <v>21</v>
      </c>
      <c r="G13">
        <v>22</v>
      </c>
      <c r="H13">
        <v>20</v>
      </c>
      <c r="I13">
        <v>24</v>
      </c>
      <c r="J13">
        <v>22</v>
      </c>
      <c r="K13">
        <v>23</v>
      </c>
      <c r="L13">
        <v>25</v>
      </c>
      <c r="M13">
        <f t="shared" si="0"/>
        <v>226</v>
      </c>
    </row>
  </sheetData>
  <mergeCells count="2">
    <mergeCell ref="A1:XFD1"/>
    <mergeCell ref="A2:XF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38"/>
  <sheetViews>
    <sheetView workbookViewId="0">
      <selection activeCell="I11" sqref="I11"/>
    </sheetView>
  </sheetViews>
  <sheetFormatPr defaultRowHeight="14.25" x14ac:dyDescent="0.2"/>
  <cols>
    <col min="2" max="2" width="16.25" bestFit="1" customWidth="1"/>
    <col min="3" max="6" width="10.375" customWidth="1"/>
    <col min="7" max="7" width="13.875" bestFit="1" customWidth="1"/>
  </cols>
  <sheetData>
    <row r="1" spans="1:7" x14ac:dyDescent="0.2">
      <c r="A1" t="s">
        <v>0</v>
      </c>
    </row>
    <row r="2" spans="1:7" x14ac:dyDescent="0.2">
      <c r="A2" t="s">
        <v>1</v>
      </c>
    </row>
    <row r="3" spans="1:7" ht="15" x14ac:dyDescent="0.25">
      <c r="A3" s="4" t="s">
        <v>2</v>
      </c>
      <c r="B3" s="4" t="s">
        <v>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 spans="1:7" x14ac:dyDescent="0.2">
      <c r="A4" s="1">
        <v>1169815</v>
      </c>
      <c r="B4" s="1" t="s">
        <v>15</v>
      </c>
      <c r="C4" s="9">
        <v>70</v>
      </c>
      <c r="D4" s="9">
        <v>120</v>
      </c>
      <c r="E4" s="9">
        <v>75</v>
      </c>
      <c r="F4" s="9">
        <v>135</v>
      </c>
      <c r="G4" s="9">
        <f>SUM(Table2[[#This Row],[Project 1]:[Project 4]])</f>
        <v>400</v>
      </c>
    </row>
    <row r="5" spans="1:7" x14ac:dyDescent="0.2">
      <c r="A5" s="1">
        <v>2002584</v>
      </c>
      <c r="B5" s="1" t="s">
        <v>16</v>
      </c>
      <c r="C5" s="9">
        <v>71</v>
      </c>
      <c r="D5" s="9">
        <v>125</v>
      </c>
      <c r="E5" s="9">
        <v>75</v>
      </c>
      <c r="F5" s="9">
        <v>150</v>
      </c>
      <c r="G5" s="9">
        <f>SUM(Table2[[#This Row],[Project 1]:[Project 4]])</f>
        <v>421</v>
      </c>
    </row>
    <row r="6" spans="1:7" x14ac:dyDescent="0.2">
      <c r="A6" s="1">
        <v>3009854</v>
      </c>
      <c r="B6" s="1" t="s">
        <v>17</v>
      </c>
      <c r="C6" s="9">
        <v>68</v>
      </c>
      <c r="D6" s="9">
        <v>125</v>
      </c>
      <c r="E6" s="9">
        <v>100</v>
      </c>
      <c r="F6" s="9">
        <v>150</v>
      </c>
      <c r="G6" s="9">
        <f>SUM(Table2[[#This Row],[Project 1]:[Project 4]])</f>
        <v>443</v>
      </c>
    </row>
    <row r="7" spans="1:7" x14ac:dyDescent="0.2">
      <c r="A7" s="1">
        <v>1206458</v>
      </c>
      <c r="B7" s="1" t="s">
        <v>18</v>
      </c>
      <c r="C7" s="9">
        <v>65</v>
      </c>
      <c r="D7" s="9">
        <v>125</v>
      </c>
      <c r="E7" s="9">
        <v>98</v>
      </c>
      <c r="F7" s="9">
        <v>145</v>
      </c>
      <c r="G7" s="9">
        <f>SUM(Table2[[#This Row],[Project 1]:[Project 4]])</f>
        <v>433</v>
      </c>
    </row>
    <row r="8" spans="1:7" x14ac:dyDescent="0.2">
      <c r="A8" s="1">
        <v>1182548</v>
      </c>
      <c r="B8" s="1" t="s">
        <v>19</v>
      </c>
      <c r="C8" s="9">
        <v>70</v>
      </c>
      <c r="D8" s="9">
        <v>120</v>
      </c>
      <c r="E8" s="9">
        <v>97</v>
      </c>
      <c r="F8" s="9">
        <v>142</v>
      </c>
      <c r="G8" s="9">
        <f>SUM(Table2[[#This Row],[Project 1]:[Project 4]])</f>
        <v>429</v>
      </c>
    </row>
    <row r="9" spans="1:7" x14ac:dyDescent="0.2">
      <c r="A9" s="1">
        <v>1195789</v>
      </c>
      <c r="B9" s="1" t="s">
        <v>20</v>
      </c>
      <c r="C9" s="9">
        <v>75</v>
      </c>
      <c r="D9" s="9">
        <v>115</v>
      </c>
      <c r="E9" s="9">
        <v>95</v>
      </c>
      <c r="F9" s="9">
        <v>142</v>
      </c>
      <c r="G9" s="9">
        <f>SUM(Table2[[#This Row],[Project 1]:[Project 4]])</f>
        <v>427</v>
      </c>
    </row>
    <row r="10" spans="1:7" x14ac:dyDescent="0.2">
      <c r="A10" s="1">
        <v>3018848</v>
      </c>
      <c r="B10" s="1" t="s">
        <v>21</v>
      </c>
      <c r="C10" s="9">
        <v>75</v>
      </c>
      <c r="D10" s="9">
        <v>115</v>
      </c>
      <c r="E10" s="9">
        <v>90</v>
      </c>
      <c r="F10" s="9">
        <v>141</v>
      </c>
      <c r="G10" s="9">
        <f>SUM(Table2[[#This Row],[Project 1]:[Project 4]])</f>
        <v>421</v>
      </c>
    </row>
    <row r="11" spans="1:7" x14ac:dyDescent="0.2">
      <c r="A11" s="1">
        <v>2007894</v>
      </c>
      <c r="B11" s="1" t="s">
        <v>22</v>
      </c>
      <c r="C11" s="9">
        <v>65</v>
      </c>
      <c r="D11" s="9">
        <v>125</v>
      </c>
      <c r="E11" s="9">
        <v>90</v>
      </c>
      <c r="F11" s="9">
        <v>143</v>
      </c>
      <c r="G11" s="9">
        <f>SUM(Table2[[#This Row],[Project 1]:[Project 4]])</f>
        <v>423</v>
      </c>
    </row>
    <row r="12" spans="1:7" x14ac:dyDescent="0.2">
      <c r="A12" s="1">
        <v>2017868</v>
      </c>
      <c r="B12" s="1" t="s">
        <v>23</v>
      </c>
      <c r="C12" s="9">
        <v>60</v>
      </c>
      <c r="D12" s="9">
        <v>125</v>
      </c>
      <c r="E12" s="9">
        <v>75</v>
      </c>
      <c r="F12" s="9">
        <v>150</v>
      </c>
      <c r="G12" s="9">
        <f>SUM(Table2[[#This Row],[Project 1]:[Project 4]])</f>
        <v>410</v>
      </c>
    </row>
    <row r="13" spans="1:7" x14ac:dyDescent="0.2">
      <c r="A13" s="2">
        <v>2026654</v>
      </c>
      <c r="B13" s="2" t="s">
        <v>24</v>
      </c>
      <c r="C13" s="9">
        <v>55</v>
      </c>
      <c r="D13" s="9">
        <v>115</v>
      </c>
      <c r="E13" s="9">
        <v>75</v>
      </c>
      <c r="F13" s="9">
        <v>150</v>
      </c>
      <c r="G13" s="9">
        <f>SUM(Table2[[#This Row],[Project 1]:[Project 4]])</f>
        <v>395</v>
      </c>
    </row>
    <row r="14" spans="1:7" x14ac:dyDescent="0.2">
      <c r="A14" s="1">
        <v>1169815</v>
      </c>
      <c r="B14" s="1" t="s">
        <v>15</v>
      </c>
      <c r="C14" s="9">
        <v>70</v>
      </c>
      <c r="D14" s="9">
        <v>120</v>
      </c>
      <c r="E14" s="9">
        <v>75</v>
      </c>
      <c r="F14" s="9">
        <v>135</v>
      </c>
      <c r="G14" s="9">
        <f>SUM(Table2[[#This Row],[Project 1]:[Project 4]])</f>
        <v>400</v>
      </c>
    </row>
    <row r="15" spans="1:7" x14ac:dyDescent="0.2">
      <c r="A15" s="1">
        <v>2002584</v>
      </c>
      <c r="B15" s="1" t="s">
        <v>16</v>
      </c>
      <c r="C15" s="9">
        <v>71</v>
      </c>
      <c r="D15" s="9">
        <v>125</v>
      </c>
      <c r="E15" s="9">
        <v>75</v>
      </c>
      <c r="F15" s="9">
        <v>150</v>
      </c>
      <c r="G15" s="9">
        <f>SUM(Table2[[#This Row],[Project 1]:[Project 4]])</f>
        <v>421</v>
      </c>
    </row>
    <row r="16" spans="1:7" x14ac:dyDescent="0.2">
      <c r="A16" s="1">
        <v>3009854</v>
      </c>
      <c r="B16" s="1" t="s">
        <v>17</v>
      </c>
      <c r="C16" s="9">
        <v>68</v>
      </c>
      <c r="D16" s="9">
        <v>125</v>
      </c>
      <c r="E16" s="9">
        <v>100</v>
      </c>
      <c r="F16" s="9">
        <v>150</v>
      </c>
      <c r="G16" s="9">
        <f>SUM(Table2[[#This Row],[Project 1]:[Project 4]])</f>
        <v>443</v>
      </c>
    </row>
    <row r="17" spans="1:7" x14ac:dyDescent="0.2">
      <c r="A17" s="1">
        <v>1206458</v>
      </c>
      <c r="B17" s="1" t="s">
        <v>18</v>
      </c>
      <c r="C17" s="9">
        <v>65</v>
      </c>
      <c r="D17" s="9">
        <v>125</v>
      </c>
      <c r="E17" s="9">
        <v>98</v>
      </c>
      <c r="F17" s="9">
        <v>145</v>
      </c>
      <c r="G17" s="9">
        <f>SUM(Table2[[#This Row],[Project 1]:[Project 4]])</f>
        <v>433</v>
      </c>
    </row>
    <row r="18" spans="1:7" x14ac:dyDescent="0.2">
      <c r="A18" s="1">
        <v>1182548</v>
      </c>
      <c r="B18" s="1" t="s">
        <v>19</v>
      </c>
      <c r="C18" s="9">
        <v>70</v>
      </c>
      <c r="D18" s="9">
        <v>120</v>
      </c>
      <c r="E18" s="9">
        <v>97</v>
      </c>
      <c r="F18" s="9">
        <v>142</v>
      </c>
      <c r="G18" s="9">
        <f>SUM(Table2[[#This Row],[Project 1]:[Project 4]])</f>
        <v>429</v>
      </c>
    </row>
    <row r="19" spans="1:7" x14ac:dyDescent="0.2">
      <c r="A19" s="1">
        <v>1195789</v>
      </c>
      <c r="B19" s="1" t="s">
        <v>20</v>
      </c>
      <c r="C19" s="9">
        <v>75</v>
      </c>
      <c r="D19" s="9">
        <v>115</v>
      </c>
      <c r="E19" s="9">
        <v>95</v>
      </c>
      <c r="F19" s="9">
        <v>142</v>
      </c>
      <c r="G19" s="9">
        <f>SUM(Table2[[#This Row],[Project 1]:[Project 4]])</f>
        <v>427</v>
      </c>
    </row>
    <row r="20" spans="1:7" x14ac:dyDescent="0.2">
      <c r="A20" s="1">
        <v>3018848</v>
      </c>
      <c r="B20" s="1" t="s">
        <v>21</v>
      </c>
      <c r="C20" s="9">
        <v>75</v>
      </c>
      <c r="D20" s="9">
        <v>115</v>
      </c>
      <c r="E20" s="9">
        <v>90</v>
      </c>
      <c r="F20" s="9">
        <v>141</v>
      </c>
      <c r="G20" s="9">
        <f>SUM(Table2[[#This Row],[Project 1]:[Project 4]])</f>
        <v>421</v>
      </c>
    </row>
    <row r="21" spans="1:7" x14ac:dyDescent="0.2">
      <c r="A21" s="1">
        <v>2007894</v>
      </c>
      <c r="B21" s="1" t="s">
        <v>22</v>
      </c>
      <c r="C21" s="9">
        <v>65</v>
      </c>
      <c r="D21" s="9">
        <v>125</v>
      </c>
      <c r="E21" s="9">
        <v>90</v>
      </c>
      <c r="F21" s="9">
        <v>143</v>
      </c>
      <c r="G21" s="9">
        <f>SUM(Table2[[#This Row],[Project 1]:[Project 4]])</f>
        <v>423</v>
      </c>
    </row>
    <row r="22" spans="1:7" x14ac:dyDescent="0.2">
      <c r="A22" s="1">
        <v>2017868</v>
      </c>
      <c r="B22" s="1" t="s">
        <v>23</v>
      </c>
      <c r="C22" s="9">
        <v>60</v>
      </c>
      <c r="D22" s="9">
        <v>125</v>
      </c>
      <c r="E22" s="9">
        <v>75</v>
      </c>
      <c r="F22" s="9">
        <v>150</v>
      </c>
      <c r="G22" s="9">
        <f>SUM(Table2[[#This Row],[Project 1]:[Project 4]])</f>
        <v>410</v>
      </c>
    </row>
    <row r="23" spans="1:7" x14ac:dyDescent="0.2">
      <c r="A23" s="1">
        <v>2026654</v>
      </c>
      <c r="B23" s="1" t="s">
        <v>24</v>
      </c>
      <c r="C23" s="9">
        <v>55</v>
      </c>
      <c r="D23" s="9">
        <v>115</v>
      </c>
      <c r="E23" s="9">
        <v>75</v>
      </c>
      <c r="F23" s="9">
        <v>150</v>
      </c>
      <c r="G23" s="9">
        <f>SUM(Table2[[#This Row],[Project 1]:[Project 4]])</f>
        <v>395</v>
      </c>
    </row>
    <row r="24" spans="1:7" x14ac:dyDescent="0.2">
      <c r="A24" s="1">
        <v>1169815</v>
      </c>
      <c r="B24" s="1" t="s">
        <v>15</v>
      </c>
      <c r="C24" s="9">
        <v>70</v>
      </c>
      <c r="D24" s="9">
        <v>120</v>
      </c>
      <c r="E24" s="9">
        <v>75</v>
      </c>
      <c r="F24" s="9">
        <v>135</v>
      </c>
      <c r="G24" s="9">
        <f>SUM(Table2[[#This Row],[Project 1]:[Project 4]])</f>
        <v>400</v>
      </c>
    </row>
    <row r="25" spans="1:7" x14ac:dyDescent="0.2">
      <c r="A25" s="1">
        <v>2002584</v>
      </c>
      <c r="B25" s="1" t="s">
        <v>16</v>
      </c>
      <c r="C25" s="9">
        <v>71</v>
      </c>
      <c r="D25" s="9">
        <v>0</v>
      </c>
      <c r="E25" s="9">
        <v>75</v>
      </c>
      <c r="F25" s="9">
        <v>150</v>
      </c>
      <c r="G25" s="9">
        <f>SUM(Table2[[#This Row],[Project 1]:[Project 4]])</f>
        <v>296</v>
      </c>
    </row>
    <row r="26" spans="1:7" x14ac:dyDescent="0.2">
      <c r="A26" s="1">
        <v>3009854</v>
      </c>
      <c r="B26" s="1" t="s">
        <v>17</v>
      </c>
      <c r="C26" s="9">
        <v>68</v>
      </c>
      <c r="D26" s="9">
        <v>125</v>
      </c>
      <c r="E26" s="9">
        <v>100</v>
      </c>
      <c r="F26" s="9">
        <v>150</v>
      </c>
      <c r="G26" s="9">
        <f>SUM(Table2[[#This Row],[Project 1]:[Project 4]])</f>
        <v>443</v>
      </c>
    </row>
    <row r="27" spans="1:7" x14ac:dyDescent="0.2">
      <c r="A27" s="1">
        <v>1206458</v>
      </c>
      <c r="B27" s="1" t="s">
        <v>18</v>
      </c>
      <c r="C27" s="9">
        <v>65</v>
      </c>
      <c r="D27" s="9">
        <v>125</v>
      </c>
      <c r="E27" s="9">
        <v>98</v>
      </c>
      <c r="F27" s="9">
        <v>145</v>
      </c>
      <c r="G27" s="9">
        <f>SUM(Table2[[#This Row],[Project 1]:[Project 4]])</f>
        <v>433</v>
      </c>
    </row>
    <row r="28" spans="1:7" x14ac:dyDescent="0.2">
      <c r="A28" s="1">
        <v>1182548</v>
      </c>
      <c r="B28" s="1" t="s">
        <v>19</v>
      </c>
      <c r="C28" s="9">
        <v>70</v>
      </c>
      <c r="D28" s="9">
        <v>120</v>
      </c>
      <c r="E28" s="9">
        <v>97</v>
      </c>
      <c r="F28" s="9">
        <v>142</v>
      </c>
      <c r="G28" s="9">
        <f>SUM(Table2[[#This Row],[Project 1]:[Project 4]])</f>
        <v>429</v>
      </c>
    </row>
    <row r="29" spans="1:7" x14ac:dyDescent="0.2">
      <c r="A29" s="1">
        <v>1195789</v>
      </c>
      <c r="B29" s="1" t="s">
        <v>20</v>
      </c>
      <c r="C29" s="9">
        <v>75</v>
      </c>
      <c r="D29" s="9">
        <v>0</v>
      </c>
      <c r="E29" s="9">
        <v>95</v>
      </c>
      <c r="F29" s="9">
        <v>142</v>
      </c>
      <c r="G29" s="9">
        <f>SUM(Table2[[#This Row],[Project 1]:[Project 4]])</f>
        <v>312</v>
      </c>
    </row>
    <row r="30" spans="1:7" x14ac:dyDescent="0.2">
      <c r="A30" s="1">
        <v>3018848</v>
      </c>
      <c r="B30" s="1" t="s">
        <v>21</v>
      </c>
      <c r="C30" s="9">
        <v>75</v>
      </c>
      <c r="D30" s="9">
        <v>115</v>
      </c>
      <c r="E30" s="9">
        <v>90</v>
      </c>
      <c r="F30" s="9">
        <v>141</v>
      </c>
      <c r="G30" s="9">
        <f>SUM(Table2[[#This Row],[Project 1]:[Project 4]])</f>
        <v>421</v>
      </c>
    </row>
    <row r="31" spans="1:7" x14ac:dyDescent="0.2">
      <c r="A31" s="1">
        <v>2007894</v>
      </c>
      <c r="B31" s="1" t="s">
        <v>22</v>
      </c>
      <c r="C31" s="9">
        <v>65</v>
      </c>
      <c r="D31" s="9">
        <v>125</v>
      </c>
      <c r="E31" s="9">
        <v>90</v>
      </c>
      <c r="F31" s="9">
        <v>143</v>
      </c>
      <c r="G31" s="9">
        <f>SUM(Table2[[#This Row],[Project 1]:[Project 4]])</f>
        <v>423</v>
      </c>
    </row>
    <row r="32" spans="1:7" x14ac:dyDescent="0.2">
      <c r="A32" s="1">
        <v>2017868</v>
      </c>
      <c r="B32" s="1" t="s">
        <v>23</v>
      </c>
      <c r="C32" s="9">
        <v>60</v>
      </c>
      <c r="D32" s="9">
        <v>125</v>
      </c>
      <c r="E32" s="9">
        <v>75</v>
      </c>
      <c r="F32" s="9">
        <v>150</v>
      </c>
      <c r="G32" s="9">
        <f>SUM(Table2[[#This Row],[Project 1]:[Project 4]])</f>
        <v>410</v>
      </c>
    </row>
    <row r="33" spans="1:7" x14ac:dyDescent="0.2">
      <c r="A33" s="1">
        <v>2026654</v>
      </c>
      <c r="B33" s="1" t="s">
        <v>24</v>
      </c>
      <c r="C33" s="9">
        <v>55</v>
      </c>
      <c r="D33" s="9">
        <v>115</v>
      </c>
      <c r="E33" s="9">
        <v>75</v>
      </c>
      <c r="F33" s="9">
        <v>150</v>
      </c>
      <c r="G33" s="9">
        <f>SUM(Table2[[#This Row],[Project 1]:[Project 4]])</f>
        <v>395</v>
      </c>
    </row>
    <row r="35" spans="1:7" ht="15" x14ac:dyDescent="0.25">
      <c r="B35" s="21" t="s">
        <v>75</v>
      </c>
    </row>
    <row r="36" spans="1:7" x14ac:dyDescent="0.2">
      <c r="B36" s="20" t="s">
        <v>76</v>
      </c>
      <c r="C36">
        <f>AVERAGE(Table2[Project 1])</f>
        <v>67.400000000000006</v>
      </c>
      <c r="D36">
        <f>AVERAGE(Table2[Project 2])</f>
        <v>113</v>
      </c>
      <c r="E36">
        <f>AVERAGE(Table2[Project 3])</f>
        <v>87</v>
      </c>
    </row>
    <row r="37" spans="1:7" x14ac:dyDescent="0.2">
      <c r="B37" s="20" t="s">
        <v>77</v>
      </c>
      <c r="C37">
        <f>MAX(Table2[Project 1])</f>
        <v>75</v>
      </c>
      <c r="D37">
        <f>MAX(Table2[Project 2])</f>
        <v>125</v>
      </c>
      <c r="E37">
        <f>MAX(Table2[Project 3])</f>
        <v>100</v>
      </c>
    </row>
    <row r="38" spans="1:7" x14ac:dyDescent="0.2">
      <c r="B38" s="20" t="s">
        <v>78</v>
      </c>
      <c r="C38">
        <f>MIN(Table2[Project 1])</f>
        <v>55</v>
      </c>
      <c r="D38">
        <f>MIN(Table2[Project 2])</f>
        <v>0</v>
      </c>
      <c r="E38">
        <f>MIN(Table2[Project 3])</f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5"/>
  <sheetViews>
    <sheetView zoomScale="115" zoomScaleNormal="115" workbookViewId="0">
      <selection sqref="A1:XFD1"/>
    </sheetView>
  </sheetViews>
  <sheetFormatPr defaultRowHeight="14.25" x14ac:dyDescent="0.2"/>
  <cols>
    <col min="2" max="2" width="16.25" bestFit="1" customWidth="1"/>
    <col min="3" max="5" width="9.375" customWidth="1"/>
    <col min="6" max="6" width="13.625" customWidth="1"/>
    <col min="7" max="7" width="14.125" customWidth="1"/>
  </cols>
  <sheetData>
    <row r="1" spans="1:8" s="28" customFormat="1" ht="20.25" x14ac:dyDescent="0.3">
      <c r="A1" s="28" t="s">
        <v>0</v>
      </c>
    </row>
    <row r="2" spans="1:8" s="29" customFormat="1" ht="15" x14ac:dyDescent="0.25">
      <c r="A2" s="29" t="s">
        <v>1</v>
      </c>
    </row>
    <row r="3" spans="1:8" ht="15" x14ac:dyDescent="0.25">
      <c r="A3" s="5" t="s">
        <v>2</v>
      </c>
      <c r="B3" s="5" t="s">
        <v>3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</row>
    <row r="4" spans="1:8" x14ac:dyDescent="0.2">
      <c r="A4" s="6">
        <v>1169815</v>
      </c>
      <c r="B4" s="6" t="s">
        <v>15</v>
      </c>
      <c r="C4" s="16">
        <v>90</v>
      </c>
      <c r="D4" s="16">
        <v>93</v>
      </c>
      <c r="E4" s="16">
        <v>92</v>
      </c>
      <c r="F4" s="16">
        <f>SUM(Table3[[#This Row],[Exam 1]:[Exam 3]])</f>
        <v>275</v>
      </c>
      <c r="G4" s="16">
        <v>867</v>
      </c>
      <c r="H4" s="16" t="str" cm="1">
        <f t="array" ref="H4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5" spans="1:8" x14ac:dyDescent="0.2">
      <c r="A5" s="7">
        <v>2002584</v>
      </c>
      <c r="B5" s="7" t="s">
        <v>16</v>
      </c>
      <c r="C5" s="16">
        <v>85</v>
      </c>
      <c r="D5" s="16">
        <v>88</v>
      </c>
      <c r="E5" s="16">
        <v>87</v>
      </c>
      <c r="F5" s="16">
        <f>SUM(Table3[[#This Row],[Exam 1]:[Exam 3]])</f>
        <v>260</v>
      </c>
      <c r="G5" s="16">
        <v>900</v>
      </c>
      <c r="H5" s="16" t="str" cm="1">
        <f t="array" ref="H5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6" spans="1:8" x14ac:dyDescent="0.2">
      <c r="A6" s="6">
        <v>3009854</v>
      </c>
      <c r="B6" s="6" t="s">
        <v>17</v>
      </c>
      <c r="C6" s="16"/>
      <c r="D6" s="16">
        <v>94</v>
      </c>
      <c r="E6" s="16">
        <v>93</v>
      </c>
      <c r="F6" s="16">
        <f>SUM(Table3[[#This Row],[Exam 1]:[Exam 3]])</f>
        <v>187</v>
      </c>
      <c r="G6" s="16">
        <v>856</v>
      </c>
      <c r="H6" s="16" t="str" cm="1">
        <f t="array" ref="H6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7" spans="1:8" x14ac:dyDescent="0.2">
      <c r="A7" s="7">
        <v>1206458</v>
      </c>
      <c r="B7" s="7" t="s">
        <v>18</v>
      </c>
      <c r="C7" s="16">
        <v>86</v>
      </c>
      <c r="D7" s="16">
        <v>89</v>
      </c>
      <c r="E7" s="16">
        <v>88</v>
      </c>
      <c r="F7" s="16">
        <f>SUM(Table3[[#This Row],[Exam 1]:[Exam 3]])</f>
        <v>263</v>
      </c>
      <c r="G7" s="16">
        <v>916</v>
      </c>
      <c r="H7" s="16" t="str" cm="1">
        <f t="array" ref="H7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8" spans="1:8" x14ac:dyDescent="0.2">
      <c r="A8" s="6">
        <v>1182548</v>
      </c>
      <c r="B8" s="6" t="s">
        <v>19</v>
      </c>
      <c r="C8" s="16">
        <v>84</v>
      </c>
      <c r="D8" s="16"/>
      <c r="E8" s="16">
        <v>86</v>
      </c>
      <c r="F8" s="16">
        <f>SUM(Table3[[#This Row],[Exam 1]:[Exam 3]])</f>
        <v>170</v>
      </c>
      <c r="G8" s="16">
        <v>821</v>
      </c>
      <c r="H8" s="16" t="str" cm="1">
        <f t="array" ref="H8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9" spans="1:8" x14ac:dyDescent="0.2">
      <c r="A9" s="7">
        <v>1195789</v>
      </c>
      <c r="B9" s="7" t="s">
        <v>20</v>
      </c>
      <c r="C9" s="16">
        <v>83</v>
      </c>
      <c r="D9" s="16">
        <v>86</v>
      </c>
      <c r="E9" s="16">
        <v>85</v>
      </c>
      <c r="F9" s="16">
        <f>SUM(Table3[[#This Row],[Exam 1]:[Exam 3]])</f>
        <v>254</v>
      </c>
      <c r="G9" s="16">
        <v>901</v>
      </c>
      <c r="H9" s="16" t="str" cm="1">
        <f t="array" ref="H9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0" spans="1:8" x14ac:dyDescent="0.2">
      <c r="A10" s="6">
        <v>3018848</v>
      </c>
      <c r="B10" s="6" t="s">
        <v>21</v>
      </c>
      <c r="C10" s="16">
        <v>75</v>
      </c>
      <c r="D10" s="16">
        <v>78</v>
      </c>
      <c r="E10" s="16"/>
      <c r="F10" s="16">
        <f>SUM(Table3[[#This Row],[Exam 1]:[Exam 3]])</f>
        <v>153</v>
      </c>
      <c r="G10" s="16">
        <v>787</v>
      </c>
      <c r="H10" s="16" t="str" cm="1">
        <f t="array" ref="H10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1" spans="1:8" x14ac:dyDescent="0.2">
      <c r="A11" s="7">
        <v>2007894</v>
      </c>
      <c r="B11" s="7" t="s">
        <v>22</v>
      </c>
      <c r="C11" s="16"/>
      <c r="D11" s="16">
        <v>77</v>
      </c>
      <c r="E11" s="16">
        <v>76</v>
      </c>
      <c r="F11" s="16">
        <f>SUM(Table3[[#This Row],[Exam 1]:[Exam 3]])</f>
        <v>153</v>
      </c>
      <c r="G11" s="16">
        <v>789</v>
      </c>
      <c r="H11" s="16" t="str" cm="1">
        <f t="array" ref="H1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2" spans="1:8" x14ac:dyDescent="0.2">
      <c r="A12" s="6">
        <v>2017868</v>
      </c>
      <c r="B12" s="6" t="s">
        <v>23</v>
      </c>
      <c r="C12" s="16">
        <v>77</v>
      </c>
      <c r="D12" s="16">
        <v>80</v>
      </c>
      <c r="E12" s="16">
        <v>79</v>
      </c>
      <c r="F12" s="16">
        <f>SUM(Table3[[#This Row],[Exam 1]:[Exam 3]])</f>
        <v>236</v>
      </c>
      <c r="G12" s="16">
        <v>854</v>
      </c>
      <c r="H12" s="16" t="str" cm="1">
        <f t="array" ref="H12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3" spans="1:8" x14ac:dyDescent="0.2">
      <c r="A13" s="2">
        <v>2026654</v>
      </c>
      <c r="B13" s="2" t="s">
        <v>24</v>
      </c>
      <c r="C13" s="16">
        <v>90</v>
      </c>
      <c r="D13" s="16">
        <v>93</v>
      </c>
      <c r="E13" s="16">
        <v>92</v>
      </c>
      <c r="F13" s="16">
        <f>SUM(Table3[[#This Row],[Exam 1]:[Exam 3]])</f>
        <v>275</v>
      </c>
      <c r="G13" s="16">
        <v>896</v>
      </c>
      <c r="H13" s="16" t="str" cm="1">
        <f t="array" ref="H13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4" spans="1:8" x14ac:dyDescent="0.2">
      <c r="A14" s="8">
        <v>1171234</v>
      </c>
      <c r="B14" s="8" t="s">
        <v>36</v>
      </c>
      <c r="C14" s="16">
        <v>95</v>
      </c>
      <c r="D14" s="16">
        <v>98</v>
      </c>
      <c r="E14" s="16">
        <v>97</v>
      </c>
      <c r="F14" s="16">
        <f>SUM(Table3[[#This Row],[Exam 1]:[Exam 3]])</f>
        <v>290</v>
      </c>
      <c r="G14" s="16">
        <v>936</v>
      </c>
      <c r="H14" s="16" t="str" cm="1">
        <f t="array" ref="H14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5" spans="1:8" x14ac:dyDescent="0.2">
      <c r="A15">
        <v>1184567</v>
      </c>
      <c r="B15" t="s">
        <v>37</v>
      </c>
      <c r="C15" s="16">
        <v>100</v>
      </c>
      <c r="D15" s="16">
        <v>91</v>
      </c>
      <c r="E15" s="16">
        <v>96</v>
      </c>
      <c r="F15" s="16">
        <f>SUM(Table3[[#This Row],[Exam 1]:[Exam 3]])</f>
        <v>287</v>
      </c>
      <c r="G15" s="16">
        <v>901</v>
      </c>
      <c r="H15" s="16" t="str" cm="1">
        <f t="array" ref="H15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6" spans="1:8" x14ac:dyDescent="0.2">
      <c r="A16" s="8">
        <v>1195546</v>
      </c>
      <c r="B16" s="8" t="s">
        <v>38</v>
      </c>
      <c r="C16" s="16">
        <v>99</v>
      </c>
      <c r="D16" s="16"/>
      <c r="E16" s="16">
        <v>96</v>
      </c>
      <c r="F16" s="16">
        <f>SUM(Table3[[#This Row],[Exam 1]:[Exam 3]])</f>
        <v>195</v>
      </c>
      <c r="G16" s="16">
        <v>811</v>
      </c>
      <c r="H16" s="16" t="str" cm="1">
        <f t="array" ref="H16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17" spans="1:8" x14ac:dyDescent="0.2">
      <c r="A17">
        <v>1208884</v>
      </c>
      <c r="B17" t="s">
        <v>39</v>
      </c>
      <c r="C17" s="16">
        <v>98</v>
      </c>
      <c r="D17" s="16">
        <v>91</v>
      </c>
      <c r="E17" s="16">
        <v>95</v>
      </c>
      <c r="F17" s="16">
        <f>SUM(Table3[[#This Row],[Exam 1]:[Exam 3]])</f>
        <v>284</v>
      </c>
      <c r="G17" s="16">
        <v>903</v>
      </c>
      <c r="H17" s="16" t="str" cm="1">
        <f t="array" ref="H17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8" spans="1:8" x14ac:dyDescent="0.2">
      <c r="A18" s="8">
        <v>1167894</v>
      </c>
      <c r="B18" s="8" t="s">
        <v>40</v>
      </c>
      <c r="C18" s="16">
        <v>75</v>
      </c>
      <c r="D18" s="16">
        <v>78</v>
      </c>
      <c r="E18" s="16"/>
      <c r="F18" s="16">
        <f>SUM(Table3[[#This Row],[Exam 1]:[Exam 3]])</f>
        <v>153</v>
      </c>
      <c r="G18" s="16">
        <v>777</v>
      </c>
      <c r="H18" s="16" t="str" cm="1">
        <f t="array" ref="H18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9" spans="1:8" x14ac:dyDescent="0.2">
      <c r="A19">
        <v>1163214</v>
      </c>
      <c r="B19" t="s">
        <v>41</v>
      </c>
      <c r="C19" s="16">
        <v>77</v>
      </c>
      <c r="D19" s="16">
        <v>80</v>
      </c>
      <c r="E19" s="16">
        <v>79</v>
      </c>
      <c r="F19" s="16">
        <f>SUM(Table3[[#This Row],[Exam 1]:[Exam 3]])</f>
        <v>236</v>
      </c>
      <c r="G19" s="16">
        <v>878</v>
      </c>
      <c r="H19" s="16" t="str" cm="1">
        <f t="array" ref="H19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0" spans="1:8" x14ac:dyDescent="0.2">
      <c r="A20" s="8">
        <v>1166549</v>
      </c>
      <c r="B20" s="8" t="s">
        <v>42</v>
      </c>
      <c r="C20" s="16">
        <v>68</v>
      </c>
      <c r="D20" s="16">
        <v>71</v>
      </c>
      <c r="E20" s="16">
        <v>70</v>
      </c>
      <c r="F20" s="16">
        <f>SUM(Table3[[#This Row],[Exam 1]:[Exam 3]])</f>
        <v>209</v>
      </c>
      <c r="G20" s="16">
        <v>864</v>
      </c>
      <c r="H20" s="16" t="str" cm="1">
        <f t="array" ref="H20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1" spans="1:8" x14ac:dyDescent="0.2">
      <c r="A21">
        <v>1179876</v>
      </c>
      <c r="B21" t="s">
        <v>43</v>
      </c>
      <c r="C21" s="16"/>
      <c r="D21" s="16">
        <v>68</v>
      </c>
      <c r="E21" s="16">
        <v>67</v>
      </c>
      <c r="F21" s="16">
        <f>SUM(Table3[[#This Row],[Exam 1]:[Exam 3]])</f>
        <v>135</v>
      </c>
      <c r="G21" s="16">
        <v>779</v>
      </c>
      <c r="H21" s="16" t="str" cm="1">
        <f t="array" ref="H2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22" spans="1:8" x14ac:dyDescent="0.2">
      <c r="A22" s="8">
        <v>1179876</v>
      </c>
      <c r="B22" s="8" t="s">
        <v>44</v>
      </c>
      <c r="C22" s="16">
        <v>100</v>
      </c>
      <c r="D22" s="16">
        <v>95</v>
      </c>
      <c r="E22" s="16">
        <v>98</v>
      </c>
      <c r="F22" s="16">
        <f>SUM(Table3[[#This Row],[Exam 1]:[Exam 3]])</f>
        <v>293</v>
      </c>
      <c r="G22" s="16">
        <v>925</v>
      </c>
      <c r="H22" s="16" t="str" cm="1">
        <f t="array" ref="H22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3" spans="1:8" x14ac:dyDescent="0.2">
      <c r="A23">
        <v>1189876</v>
      </c>
      <c r="B23" t="s">
        <v>45</v>
      </c>
      <c r="C23" s="16">
        <v>95</v>
      </c>
      <c r="D23" s="16">
        <v>98</v>
      </c>
      <c r="E23" s="16"/>
      <c r="F23" s="16">
        <f>SUM(Table3[[#This Row],[Exam 1]:[Exam 3]])</f>
        <v>193</v>
      </c>
      <c r="G23" s="16">
        <v>823</v>
      </c>
      <c r="H23" s="16" t="str" cm="1">
        <f t="array" ref="H23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4" spans="1:8" x14ac:dyDescent="0.2">
      <c r="A24" s="8">
        <v>1254446</v>
      </c>
      <c r="B24" s="8" t="s">
        <v>46</v>
      </c>
      <c r="C24" s="16">
        <v>98</v>
      </c>
      <c r="D24" s="16">
        <v>91</v>
      </c>
      <c r="E24" s="16">
        <v>95</v>
      </c>
      <c r="F24" s="16">
        <f>SUM(Table3[[#This Row],[Exam 1]:[Exam 3]])</f>
        <v>284</v>
      </c>
      <c r="G24" s="16">
        <v>893</v>
      </c>
      <c r="H24" s="16" t="str" cm="1">
        <f t="array" ref="H24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5" spans="1:8" x14ac:dyDescent="0.2">
      <c r="A25">
        <v>1264445</v>
      </c>
      <c r="B25" t="s">
        <v>47</v>
      </c>
      <c r="C25" s="16">
        <v>97</v>
      </c>
      <c r="D25" s="16">
        <v>100</v>
      </c>
      <c r="E25" s="16">
        <v>99</v>
      </c>
      <c r="F25" s="16">
        <f>SUM(Table3[[#This Row],[Exam 1]:[Exam 3]])</f>
        <v>296</v>
      </c>
      <c r="G25" s="16">
        <v>918</v>
      </c>
      <c r="H25" s="16" t="str" cm="1">
        <f t="array" ref="H25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6" spans="1:8" x14ac:dyDescent="0.2">
      <c r="A26" s="8">
        <v>1275568</v>
      </c>
      <c r="B26" s="8" t="s">
        <v>50</v>
      </c>
      <c r="C26" s="16"/>
      <c r="D26" s="16">
        <v>90</v>
      </c>
      <c r="E26" s="16"/>
      <c r="F26" s="16">
        <f>SUM(Table3[[#This Row],[Exam 1]:[Exam 3]])</f>
        <v>90</v>
      </c>
      <c r="G26" s="16">
        <v>739</v>
      </c>
      <c r="H26" s="16" t="str" cm="1">
        <f t="array" ref="H26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</v>
      </c>
    </row>
    <row r="27" spans="1:8" x14ac:dyDescent="0.2">
      <c r="A27">
        <v>1289994</v>
      </c>
      <c r="B27" t="s">
        <v>51</v>
      </c>
      <c r="C27" s="16">
        <v>99</v>
      </c>
      <c r="D27" s="16"/>
      <c r="E27" s="16">
        <v>96</v>
      </c>
      <c r="F27" s="16">
        <f>SUM(Table3[[#This Row],[Exam 1]:[Exam 3]])</f>
        <v>195</v>
      </c>
      <c r="G27" s="16">
        <v>838</v>
      </c>
      <c r="H27" s="16" t="str" cm="1">
        <f t="array" ref="H27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8" spans="1:8" x14ac:dyDescent="0.2">
      <c r="A28" s="8">
        <v>1265558</v>
      </c>
      <c r="B28" s="8" t="s">
        <v>52</v>
      </c>
      <c r="C28" s="16">
        <v>100</v>
      </c>
      <c r="D28" s="16">
        <v>93</v>
      </c>
      <c r="E28" s="16">
        <v>97</v>
      </c>
      <c r="F28" s="16">
        <f>SUM(Table3[[#This Row],[Exam 1]:[Exam 3]])</f>
        <v>290</v>
      </c>
      <c r="G28" s="16">
        <v>814</v>
      </c>
      <c r="H28" s="16" t="str" cm="1">
        <f t="array" ref="H28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9" spans="1:8" x14ac:dyDescent="0.2">
      <c r="A29">
        <v>3018875</v>
      </c>
      <c r="B29" t="s">
        <v>53</v>
      </c>
      <c r="C29" s="16">
        <v>89</v>
      </c>
      <c r="D29" s="16">
        <v>92</v>
      </c>
      <c r="E29" s="16">
        <v>91</v>
      </c>
      <c r="F29" s="16">
        <f>SUM(Table3[[#This Row],[Exam 1]:[Exam 3]])</f>
        <v>272</v>
      </c>
      <c r="G29" s="16">
        <v>793</v>
      </c>
      <c r="H29" s="16" t="str" cm="1">
        <f t="array" ref="H29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0" spans="1:8" x14ac:dyDescent="0.2">
      <c r="A30" s="8">
        <v>2051147</v>
      </c>
      <c r="B30" s="8" t="s">
        <v>54</v>
      </c>
      <c r="C30" s="16">
        <v>87</v>
      </c>
      <c r="D30" s="16">
        <v>90</v>
      </c>
      <c r="E30" s="16"/>
      <c r="F30" s="16">
        <f>SUM(Table3[[#This Row],[Exam 1]:[Exam 3]])</f>
        <v>177</v>
      </c>
      <c r="G30" s="16">
        <v>787</v>
      </c>
      <c r="H30" s="16" t="str" cm="1">
        <f t="array" ref="H30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1" spans="1:8" x14ac:dyDescent="0.2">
      <c r="A31">
        <v>1207894</v>
      </c>
      <c r="B31" t="s">
        <v>55</v>
      </c>
      <c r="C31" s="16">
        <v>77</v>
      </c>
      <c r="D31" s="16">
        <v>80</v>
      </c>
      <c r="E31" s="16">
        <v>79</v>
      </c>
      <c r="F31" s="16">
        <f>SUM(Table3[[#This Row],[Exam 1]:[Exam 3]])</f>
        <v>236</v>
      </c>
      <c r="G31" s="16">
        <v>843</v>
      </c>
      <c r="H31" s="16" t="str" cm="1">
        <f t="array" ref="H3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32" spans="1:8" x14ac:dyDescent="0.2">
      <c r="A32" s="8">
        <v>1214567</v>
      </c>
      <c r="B32" t="s">
        <v>49</v>
      </c>
      <c r="C32" s="16">
        <v>75</v>
      </c>
      <c r="D32" s="16">
        <v>78</v>
      </c>
      <c r="E32" s="16">
        <v>77</v>
      </c>
      <c r="F32" s="16">
        <f>SUM(Table3[[#This Row],[Exam 1]:[Exam 3]])</f>
        <v>230</v>
      </c>
      <c r="G32" s="16">
        <v>875</v>
      </c>
      <c r="H32" s="16" t="str" cm="1">
        <f t="array" ref="H32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3" spans="1:8" x14ac:dyDescent="0.2">
      <c r="A33">
        <v>1225879</v>
      </c>
      <c r="B33" t="s">
        <v>48</v>
      </c>
      <c r="C33" s="16">
        <v>74</v>
      </c>
      <c r="D33" s="16">
        <v>77</v>
      </c>
      <c r="E33" s="16">
        <v>76</v>
      </c>
      <c r="F33" s="16">
        <f>SUM(Table3[[#This Row],[Exam 1]:[Exam 3]])</f>
        <v>227</v>
      </c>
      <c r="G33" s="16">
        <v>886</v>
      </c>
      <c r="H33" s="16" t="str" cm="1">
        <f t="array" ref="H33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5" spans="1:8" ht="15" x14ac:dyDescent="0.25">
      <c r="A35" s="11" t="s">
        <v>56</v>
      </c>
      <c r="C35" s="12">
        <f>COUNTBLANK(Table3[Exam 1])</f>
        <v>4</v>
      </c>
      <c r="D35" s="12">
        <f>COUNTBLANK(Table3[Exam 2])</f>
        <v>3</v>
      </c>
      <c r="E35" s="12"/>
    </row>
  </sheetData>
  <mergeCells count="2">
    <mergeCell ref="A1:XFD1"/>
    <mergeCell ref="A2:XF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"/>
  <sheetViews>
    <sheetView workbookViewId="0"/>
  </sheetViews>
  <sheetFormatPr defaultRowHeight="14.2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36"/>
  <sheetViews>
    <sheetView workbookViewId="0">
      <selection sqref="A1:XFD1"/>
    </sheetView>
  </sheetViews>
  <sheetFormatPr defaultRowHeight="14.25" x14ac:dyDescent="0.2"/>
  <cols>
    <col min="1" max="1" width="11.875" bestFit="1" customWidth="1"/>
    <col min="5" max="5" width="12.875" customWidth="1"/>
    <col min="6" max="6" width="8.25" bestFit="1" customWidth="1"/>
  </cols>
  <sheetData>
    <row r="1" spans="1:6" s="30" customFormat="1" ht="20.25" x14ac:dyDescent="0.2">
      <c r="A1" s="30" t="s">
        <v>0</v>
      </c>
    </row>
    <row r="2" spans="1:6" s="29" customFormat="1" ht="15" x14ac:dyDescent="0.25">
      <c r="A2" s="29" t="s">
        <v>1</v>
      </c>
    </row>
    <row r="4" spans="1:6" ht="15.75" x14ac:dyDescent="0.25">
      <c r="A4" s="31" t="s">
        <v>57</v>
      </c>
      <c r="B4" s="31"/>
      <c r="E4" s="17" t="s">
        <v>74</v>
      </c>
      <c r="F4" s="17" t="s">
        <v>35</v>
      </c>
    </row>
    <row r="5" spans="1:6" ht="18" x14ac:dyDescent="0.25">
      <c r="A5" s="15" t="s">
        <v>58</v>
      </c>
      <c r="E5" s="9">
        <v>0</v>
      </c>
      <c r="F5" s="9" t="str" cm="1">
        <f t="array" ref="F5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F</v>
      </c>
    </row>
    <row r="6" spans="1:6" x14ac:dyDescent="0.2">
      <c r="A6" s="16" t="s">
        <v>59</v>
      </c>
      <c r="B6" s="16">
        <v>25</v>
      </c>
      <c r="E6" s="9">
        <v>600</v>
      </c>
      <c r="F6" s="9" t="str" cm="1">
        <f t="array" ref="F6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D-</v>
      </c>
    </row>
    <row r="7" spans="1:6" x14ac:dyDescent="0.2">
      <c r="A7" s="16" t="s">
        <v>60</v>
      </c>
      <c r="B7" s="16">
        <v>25</v>
      </c>
      <c r="E7" s="9">
        <v>640</v>
      </c>
      <c r="F7" s="9" t="str" cm="1">
        <f t="array" ref="F7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</v>
      </c>
    </row>
    <row r="8" spans="1:6" x14ac:dyDescent="0.2">
      <c r="A8" s="16" t="s">
        <v>61</v>
      </c>
      <c r="B8" s="16">
        <v>25</v>
      </c>
      <c r="E8" s="9">
        <v>670</v>
      </c>
      <c r="F8" s="9" t="str" cm="1">
        <f t="array" ref="F8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9" spans="1:6" x14ac:dyDescent="0.2">
      <c r="A9" s="16" t="s">
        <v>62</v>
      </c>
      <c r="B9" s="16">
        <v>25</v>
      </c>
      <c r="E9" s="9">
        <v>700</v>
      </c>
      <c r="F9" s="9" t="str" cm="1">
        <f t="array" ref="F9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10" spans="1:6" x14ac:dyDescent="0.2">
      <c r="A10" s="16" t="s">
        <v>63</v>
      </c>
      <c r="B10" s="16">
        <v>25</v>
      </c>
      <c r="E10" s="9">
        <v>740</v>
      </c>
      <c r="F10" s="9" t="str" cm="1">
        <f t="array" ref="F10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</v>
      </c>
    </row>
    <row r="11" spans="1:6" x14ac:dyDescent="0.2">
      <c r="A11" s="16" t="s">
        <v>64</v>
      </c>
      <c r="B11" s="16">
        <v>25</v>
      </c>
      <c r="E11" s="9">
        <v>770</v>
      </c>
      <c r="F11" s="9" t="str" cm="1">
        <f t="array" ref="F1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C+</v>
      </c>
    </row>
    <row r="12" spans="1:6" x14ac:dyDescent="0.2">
      <c r="A12" s="16" t="s">
        <v>65</v>
      </c>
      <c r="B12" s="16">
        <v>25</v>
      </c>
      <c r="E12" s="9">
        <v>800</v>
      </c>
      <c r="F12" s="9" t="str" cm="1">
        <f t="array" ref="F12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B-</v>
      </c>
    </row>
    <row r="13" spans="1:6" x14ac:dyDescent="0.2">
      <c r="A13" s="16" t="s">
        <v>66</v>
      </c>
      <c r="B13" s="16">
        <v>25</v>
      </c>
      <c r="E13" s="9">
        <v>840</v>
      </c>
      <c r="F13" s="9" t="str" cm="1">
        <f t="array" ref="F13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</v>
      </c>
    </row>
    <row r="14" spans="1:6" x14ac:dyDescent="0.2">
      <c r="A14" s="16" t="s">
        <v>67</v>
      </c>
      <c r="B14" s="16">
        <v>25</v>
      </c>
      <c r="E14" s="9">
        <v>870</v>
      </c>
      <c r="F14" s="9" t="str" cm="1">
        <f t="array" ref="F14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B+</v>
      </c>
    </row>
    <row r="15" spans="1:6" ht="15" thickBot="1" x14ac:dyDescent="0.25">
      <c r="A15" s="22" t="s">
        <v>68</v>
      </c>
      <c r="B15" s="22">
        <v>25</v>
      </c>
      <c r="E15" s="9">
        <v>900</v>
      </c>
      <c r="F15" s="9" t="str" cm="1">
        <f t="array" ref="F15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A-</v>
      </c>
    </row>
    <row r="16" spans="1:6" ht="30.75" thickBot="1" x14ac:dyDescent="0.3">
      <c r="A16" s="14" t="s">
        <v>69</v>
      </c>
      <c r="B16" s="18">
        <f>SUM(B6:B15)</f>
        <v>250</v>
      </c>
      <c r="E16" s="9">
        <v>950</v>
      </c>
      <c r="F16" s="9" t="str" cm="1">
        <f t="array" ref="F16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</v>
      </c>
    </row>
    <row r="17" spans="1:6" ht="18" x14ac:dyDescent="0.25">
      <c r="A17" s="23" t="s">
        <v>70</v>
      </c>
      <c r="B17" s="24"/>
    </row>
    <row r="18" spans="1:6" x14ac:dyDescent="0.2">
      <c r="A18" s="9" t="s">
        <v>59</v>
      </c>
      <c r="B18" s="9">
        <v>75</v>
      </c>
    </row>
    <row r="19" spans="1:6" x14ac:dyDescent="0.2">
      <c r="A19" s="9" t="s">
        <v>60</v>
      </c>
      <c r="B19" s="9">
        <v>125</v>
      </c>
    </row>
    <row r="20" spans="1:6" x14ac:dyDescent="0.2">
      <c r="A20" s="9" t="s">
        <v>61</v>
      </c>
      <c r="B20" s="9">
        <v>100</v>
      </c>
    </row>
    <row r="21" spans="1:6" ht="15" thickBot="1" x14ac:dyDescent="0.25">
      <c r="A21" s="25" t="s">
        <v>62</v>
      </c>
      <c r="B21" s="25">
        <v>150</v>
      </c>
    </row>
    <row r="22" spans="1:6" ht="22.15" customHeight="1" thickBot="1" x14ac:dyDescent="0.25">
      <c r="A22" s="19" t="s">
        <v>29</v>
      </c>
      <c r="B22" s="18">
        <f>SUM(B18:B21)</f>
        <v>450</v>
      </c>
    </row>
    <row r="23" spans="1:6" ht="18" x14ac:dyDescent="0.25">
      <c r="A23" s="23" t="s">
        <v>71</v>
      </c>
      <c r="B23" s="24"/>
    </row>
    <row r="24" spans="1:6" x14ac:dyDescent="0.2">
      <c r="A24" s="9" t="s">
        <v>59</v>
      </c>
      <c r="B24" s="9">
        <v>100</v>
      </c>
    </row>
    <row r="25" spans="1:6" x14ac:dyDescent="0.2">
      <c r="A25" s="9" t="s">
        <v>60</v>
      </c>
      <c r="B25" s="9">
        <v>100</v>
      </c>
    </row>
    <row r="26" spans="1:6" ht="15" thickBot="1" x14ac:dyDescent="0.25">
      <c r="A26" s="9" t="s">
        <v>61</v>
      </c>
      <c r="B26" s="9">
        <v>100</v>
      </c>
    </row>
    <row r="27" spans="1:6" ht="15.75" thickBot="1" x14ac:dyDescent="0.3">
      <c r="A27" s="26" t="s">
        <v>72</v>
      </c>
      <c r="B27" s="26">
        <f>SUM(B24:B26)</f>
        <v>300</v>
      </c>
    </row>
    <row r="28" spans="1:6" ht="15.75" thickBot="1" x14ac:dyDescent="0.3">
      <c r="A28" s="26" t="s">
        <v>73</v>
      </c>
      <c r="B28" s="27"/>
    </row>
    <row r="32" spans="1:6" x14ac:dyDescent="0.2">
      <c r="F32" s="13"/>
    </row>
    <row r="36" spans="5:5" x14ac:dyDescent="0.2">
      <c r="E36" s="13"/>
    </row>
  </sheetData>
  <mergeCells count="3">
    <mergeCell ref="A1:XFD1"/>
    <mergeCell ref="A2:XFD2"/>
    <mergeCell ref="A4:B4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Tasks</vt:lpstr>
      <vt:lpstr>Projects</vt:lpstr>
      <vt:lpstr>Exams</vt:lpstr>
      <vt:lpstr>Score Distribution</vt:lpstr>
      <vt:lpstr>Grade Criteria</vt:lpstr>
      <vt:lpstr>Total1</vt:lpstr>
      <vt:lpstr>Total2</vt:lpstr>
      <vt:lpstr>Total3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PC-LAM</dc:creator>
  <cp:lastModifiedBy>Pham Cuong</cp:lastModifiedBy>
  <dcterms:created xsi:type="dcterms:W3CDTF">2022-12-11T12:09:00Z</dcterms:created>
  <dcterms:modified xsi:type="dcterms:W3CDTF">2025-10-25T04:28:36Z</dcterms:modified>
</cp:coreProperties>
</file>